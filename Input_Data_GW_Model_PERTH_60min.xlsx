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cu\Documents\GitHub\BSM_SM\"/>
    </mc:Choice>
  </mc:AlternateContent>
  <xr:revisionPtr revIDLastSave="0" documentId="13_ncr:1_{350763CE-92EA-443A-BAA8-12619A8D52DE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Input_Data" sheetId="2" r:id="rId1"/>
    <sheet name="Boundary_Conditions" sheetId="7" r:id="rId2"/>
    <sheet name="GW_S" sheetId="11" r:id="rId3"/>
    <sheet name="GW_Depth" sheetId="6" r:id="rId4"/>
    <sheet name="GW_Ksat" sheetId="9" r:id="rId5"/>
    <sheet name="DEM" sheetId="4" r:id="rId6"/>
    <sheet name="Soil_Depth" sheetId="5" state="hidden" r:id="rId7"/>
    <sheet name="Inflow_BC" sheetId="1" r:id="rId8"/>
    <sheet name="Assimilation_Data" sheetId="12" r:id="rId9"/>
  </sheets>
  <definedNames>
    <definedName name="n_nodes">Input_Data!#REF!</definedName>
    <definedName name="n_x">Input_Data!$F$7</definedName>
    <definedName name="n_y">Input_Data!$F$6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2" l="1"/>
  <c r="F12" i="12"/>
  <c r="C11" i="12"/>
  <c r="G11" i="12"/>
  <c r="C10" i="12"/>
  <c r="D9" i="12"/>
  <c r="D6" i="12"/>
  <c r="D7" i="12"/>
  <c r="D10" i="12"/>
  <c r="E10" i="12"/>
  <c r="E9" i="12"/>
  <c r="E8" i="12"/>
  <c r="E7" i="12"/>
  <c r="E6" i="12"/>
  <c r="C9" i="12"/>
  <c r="C7" i="12"/>
  <c r="C6" i="12"/>
  <c r="D11" i="12"/>
  <c r="G66" i="12"/>
  <c r="C66" i="12"/>
  <c r="G8" i="12" l="1"/>
  <c r="G6" i="12"/>
  <c r="F11" i="12"/>
  <c r="F10" i="12"/>
  <c r="F9" i="12"/>
  <c r="F8" i="12"/>
  <c r="F6" i="12"/>
  <c r="B6" i="9"/>
  <c r="B9" i="9"/>
  <c r="S64" i="9" s="1"/>
  <c r="F15" i="2"/>
  <c r="E11" i="12" s="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C5" i="11"/>
  <c r="C7" i="2"/>
  <c r="T64" i="9" l="1"/>
  <c r="U64" i="9"/>
  <c r="V64" i="9"/>
  <c r="W64" i="9"/>
  <c r="X64" i="9"/>
  <c r="J64" i="9"/>
  <c r="R64" i="9"/>
  <c r="C64" i="9"/>
  <c r="K64" i="9"/>
  <c r="D64" i="9"/>
  <c r="L64" i="9"/>
  <c r="E64" i="9"/>
  <c r="M64" i="9"/>
  <c r="F64" i="9"/>
  <c r="N64" i="9"/>
  <c r="G64" i="9"/>
  <c r="O64" i="9"/>
  <c r="H64" i="9"/>
  <c r="P64" i="9"/>
  <c r="I64" i="9"/>
  <c r="Q64" i="9"/>
  <c r="Y64" i="9"/>
  <c r="Z64" i="9"/>
  <c r="W13" i="9"/>
  <c r="D62" i="9"/>
  <c r="G58" i="9"/>
  <c r="O55" i="9"/>
  <c r="T52" i="9"/>
  <c r="W49" i="9"/>
  <c r="W46" i="9"/>
  <c r="S41" i="9"/>
  <c r="Q34" i="9"/>
  <c r="P19" i="9"/>
  <c r="C5" i="9"/>
  <c r="O5" i="9"/>
  <c r="Z63" i="9"/>
  <c r="L63" i="9"/>
  <c r="Q62" i="9"/>
  <c r="Y61" i="9"/>
  <c r="H61" i="9"/>
  <c r="O60" i="9"/>
  <c r="W59" i="9"/>
  <c r="F59" i="9"/>
  <c r="D58" i="9"/>
  <c r="P56" i="9"/>
  <c r="L55" i="9"/>
  <c r="W53" i="9"/>
  <c r="O52" i="9"/>
  <c r="D51" i="9"/>
  <c r="O49" i="9"/>
  <c r="H48" i="9"/>
  <c r="S46" i="9"/>
  <c r="K44" i="9"/>
  <c r="K41" i="9"/>
  <c r="R37" i="9"/>
  <c r="N34" i="9"/>
  <c r="S29" i="9"/>
  <c r="K25" i="9"/>
  <c r="O19" i="9"/>
  <c r="L61" i="9"/>
  <c r="H59" i="9"/>
  <c r="X56" i="9"/>
  <c r="X53" i="9"/>
  <c r="G51" i="9"/>
  <c r="L48" i="9"/>
  <c r="S44" i="9"/>
  <c r="Q38" i="9"/>
  <c r="H30" i="9"/>
  <c r="J26" i="9"/>
  <c r="Y5" i="9"/>
  <c r="M5" i="9"/>
  <c r="Y63" i="9"/>
  <c r="H63" i="9"/>
  <c r="P62" i="9"/>
  <c r="X61" i="9"/>
  <c r="F61" i="9"/>
  <c r="N60" i="9"/>
  <c r="V59" i="9"/>
  <c r="X58" i="9"/>
  <c r="X57" i="9"/>
  <c r="O56" i="9"/>
  <c r="G55" i="9"/>
  <c r="T53" i="9"/>
  <c r="G52" i="9"/>
  <c r="X50" i="9"/>
  <c r="L49" i="9"/>
  <c r="D48" i="9"/>
  <c r="N46" i="9"/>
  <c r="S43" i="9"/>
  <c r="J41" i="9"/>
  <c r="I37" i="9"/>
  <c r="R33" i="9"/>
  <c r="O29" i="9"/>
  <c r="E24" i="9"/>
  <c r="W18" i="9"/>
  <c r="O63" i="9"/>
  <c r="X59" i="9"/>
  <c r="W63" i="9"/>
  <c r="D61" i="9"/>
  <c r="W58" i="9"/>
  <c r="P53" i="9"/>
  <c r="M46" i="9"/>
  <c r="P17" i="9"/>
  <c r="W5" i="9"/>
  <c r="K5" i="9"/>
  <c r="T63" i="9"/>
  <c r="F63" i="9"/>
  <c r="N62" i="9"/>
  <c r="Q61" i="9"/>
  <c r="Y60" i="9"/>
  <c r="I60" i="9"/>
  <c r="O59" i="9"/>
  <c r="V58" i="9"/>
  <c r="N57" i="9"/>
  <c r="H56" i="9"/>
  <c r="T54" i="9"/>
  <c r="L53" i="9"/>
  <c r="X51" i="9"/>
  <c r="L50" i="9"/>
  <c r="G49" i="9"/>
  <c r="P47" i="9"/>
  <c r="C46" i="9"/>
  <c r="J43" i="9"/>
  <c r="Y39" i="9"/>
  <c r="V36" i="9"/>
  <c r="P32" i="9"/>
  <c r="P28" i="9"/>
  <c r="Q23" i="9"/>
  <c r="X15" i="9"/>
  <c r="D5" i="9"/>
  <c r="P60" i="9"/>
  <c r="G63" i="9"/>
  <c r="L60" i="9"/>
  <c r="L56" i="9"/>
  <c r="T50" i="9"/>
  <c r="S40" i="9"/>
  <c r="C24" i="9"/>
  <c r="U5" i="9"/>
  <c r="I5" i="9"/>
  <c r="S63" i="9"/>
  <c r="D63" i="9"/>
  <c r="I62" i="9"/>
  <c r="P61" i="9"/>
  <c r="X60" i="9"/>
  <c r="G60" i="9"/>
  <c r="N59" i="9"/>
  <c r="T58" i="9"/>
  <c r="L57" i="9"/>
  <c r="D56" i="9"/>
  <c r="P54" i="9"/>
  <c r="D53" i="9"/>
  <c r="W51" i="9"/>
  <c r="H50" i="9"/>
  <c r="X48" i="9"/>
  <c r="O47" i="9"/>
  <c r="K45" i="9"/>
  <c r="C43" i="9"/>
  <c r="V39" i="9"/>
  <c r="I36" i="9"/>
  <c r="G32" i="9"/>
  <c r="P27" i="9"/>
  <c r="Y22" i="9"/>
  <c r="H15" i="9"/>
  <c r="P5" i="9"/>
  <c r="X5" i="9"/>
  <c r="O62" i="9"/>
  <c r="Q59" i="9"/>
  <c r="W54" i="9"/>
  <c r="H49" i="9"/>
  <c r="K43" i="9"/>
  <c r="T32" i="9"/>
  <c r="T5" i="9"/>
  <c r="G5" i="9"/>
  <c r="Q63" i="9"/>
  <c r="Y62" i="9"/>
  <c r="G62" i="9"/>
  <c r="O61" i="9"/>
  <c r="W60" i="9"/>
  <c r="D60" i="9"/>
  <c r="L59" i="9"/>
  <c r="O58" i="9"/>
  <c r="H57" i="9"/>
  <c r="T55" i="9"/>
  <c r="O54" i="9"/>
  <c r="X52" i="9"/>
  <c r="P51" i="9"/>
  <c r="G50" i="9"/>
  <c r="P48" i="9"/>
  <c r="L47" i="9"/>
  <c r="J45" i="9"/>
  <c r="R42" i="9"/>
  <c r="N39" i="9"/>
  <c r="J35" i="9"/>
  <c r="T31" i="9"/>
  <c r="G27" i="9"/>
  <c r="G22" i="9"/>
  <c r="X13" i="9"/>
  <c r="T62" i="9"/>
  <c r="L5" i="9"/>
  <c r="V61" i="9"/>
  <c r="T57" i="9"/>
  <c r="D52" i="9"/>
  <c r="T47" i="9"/>
  <c r="F37" i="9"/>
  <c r="E29" i="9"/>
  <c r="R5" i="9"/>
  <c r="E5" i="9"/>
  <c r="P63" i="9"/>
  <c r="W62" i="9"/>
  <c r="F62" i="9"/>
  <c r="N61" i="9"/>
  <c r="T60" i="9"/>
  <c r="Y59" i="9"/>
  <c r="I59" i="9"/>
  <c r="H58" i="9"/>
  <c r="G57" i="9"/>
  <c r="P55" i="9"/>
  <c r="H54" i="9"/>
  <c r="W52" i="9"/>
  <c r="H51" i="9"/>
  <c r="D50" i="9"/>
  <c r="O48" i="9"/>
  <c r="G47" i="9"/>
  <c r="C45" i="9"/>
  <c r="Z41" i="9"/>
  <c r="Z38" i="9"/>
  <c r="Z34" i="9"/>
  <c r="H31" i="9"/>
  <c r="P26" i="9"/>
  <c r="P20" i="9"/>
  <c r="C6" i="9"/>
  <c r="K6" i="9"/>
  <c r="S6" i="9"/>
  <c r="C7" i="9"/>
  <c r="K7" i="9"/>
  <c r="S7" i="9"/>
  <c r="C8" i="9"/>
  <c r="K8" i="9"/>
  <c r="S8" i="9"/>
  <c r="C9" i="9"/>
  <c r="K9" i="9"/>
  <c r="S9" i="9"/>
  <c r="C10" i="9"/>
  <c r="K10" i="9"/>
  <c r="S10" i="9"/>
  <c r="C11" i="9"/>
  <c r="K11" i="9"/>
  <c r="S11" i="9"/>
  <c r="C12" i="9"/>
  <c r="K12" i="9"/>
  <c r="S12" i="9"/>
  <c r="C13" i="9"/>
  <c r="K13" i="9"/>
  <c r="S13" i="9"/>
  <c r="C14" i="9"/>
  <c r="K14" i="9"/>
  <c r="S14" i="9"/>
  <c r="C15" i="9"/>
  <c r="D6" i="9"/>
  <c r="L6" i="9"/>
  <c r="T6" i="9"/>
  <c r="D7" i="9"/>
  <c r="L7" i="9"/>
  <c r="T7" i="9"/>
  <c r="D8" i="9"/>
  <c r="L8" i="9"/>
  <c r="T8" i="9"/>
  <c r="D9" i="9"/>
  <c r="L9" i="9"/>
  <c r="T9" i="9"/>
  <c r="D10" i="9"/>
  <c r="L10" i="9"/>
  <c r="T10" i="9"/>
  <c r="D11" i="9"/>
  <c r="L11" i="9"/>
  <c r="T11" i="9"/>
  <c r="D12" i="9"/>
  <c r="L12" i="9"/>
  <c r="T12" i="9"/>
  <c r="D13" i="9"/>
  <c r="L13" i="9"/>
  <c r="T13" i="9"/>
  <c r="D14" i="9"/>
  <c r="L14" i="9"/>
  <c r="T14" i="9"/>
  <c r="D15" i="9"/>
  <c r="L15" i="9"/>
  <c r="T15" i="9"/>
  <c r="D16" i="9"/>
  <c r="L16" i="9"/>
  <c r="T16" i="9"/>
  <c r="D17" i="9"/>
  <c r="L17" i="9"/>
  <c r="T17" i="9"/>
  <c r="D18" i="9"/>
  <c r="L18" i="9"/>
  <c r="T18" i="9"/>
  <c r="D19" i="9"/>
  <c r="L19" i="9"/>
  <c r="T19" i="9"/>
  <c r="D20" i="9"/>
  <c r="L20" i="9"/>
  <c r="T20" i="9"/>
  <c r="D21" i="9"/>
  <c r="L21" i="9"/>
  <c r="T21" i="9"/>
  <c r="D22" i="9"/>
  <c r="L22" i="9"/>
  <c r="T22" i="9"/>
  <c r="D23" i="9"/>
  <c r="L23" i="9"/>
  <c r="T23" i="9"/>
  <c r="D24" i="9"/>
  <c r="L24" i="9"/>
  <c r="T24" i="9"/>
  <c r="D25" i="9"/>
  <c r="L25" i="9"/>
  <c r="T25" i="9"/>
  <c r="D26" i="9"/>
  <c r="L26" i="9"/>
  <c r="T26" i="9"/>
  <c r="D27" i="9"/>
  <c r="E6" i="9"/>
  <c r="M6" i="9"/>
  <c r="U6" i="9"/>
  <c r="E7" i="9"/>
  <c r="M7" i="9"/>
  <c r="U7" i="9"/>
  <c r="E8" i="9"/>
  <c r="M8" i="9"/>
  <c r="U8" i="9"/>
  <c r="E9" i="9"/>
  <c r="M9" i="9"/>
  <c r="U9" i="9"/>
  <c r="E10" i="9"/>
  <c r="M10" i="9"/>
  <c r="U10" i="9"/>
  <c r="E11" i="9"/>
  <c r="M11" i="9"/>
  <c r="U11" i="9"/>
  <c r="E12" i="9"/>
  <c r="M12" i="9"/>
  <c r="U12" i="9"/>
  <c r="E13" i="9"/>
  <c r="M13" i="9"/>
  <c r="U13" i="9"/>
  <c r="E14" i="9"/>
  <c r="M14" i="9"/>
  <c r="U14" i="9"/>
  <c r="E15" i="9"/>
  <c r="M15" i="9"/>
  <c r="U15" i="9"/>
  <c r="E16" i="9"/>
  <c r="M16" i="9"/>
  <c r="U16" i="9"/>
  <c r="E17" i="9"/>
  <c r="M17" i="9"/>
  <c r="U17" i="9"/>
  <c r="E18" i="9"/>
  <c r="M18" i="9"/>
  <c r="U18" i="9"/>
  <c r="E19" i="9"/>
  <c r="M19" i="9"/>
  <c r="U19" i="9"/>
  <c r="E20" i="9"/>
  <c r="M20" i="9"/>
  <c r="U20" i="9"/>
  <c r="E21" i="9"/>
  <c r="M21" i="9"/>
  <c r="U21" i="9"/>
  <c r="E22" i="9"/>
  <c r="M22" i="9"/>
  <c r="U22" i="9"/>
  <c r="E23" i="9"/>
  <c r="F6" i="9"/>
  <c r="N6" i="9"/>
  <c r="V6" i="9"/>
  <c r="F7" i="9"/>
  <c r="N7" i="9"/>
  <c r="V7" i="9"/>
  <c r="F8" i="9"/>
  <c r="N8" i="9"/>
  <c r="V8" i="9"/>
  <c r="F9" i="9"/>
  <c r="N9" i="9"/>
  <c r="V9" i="9"/>
  <c r="F10" i="9"/>
  <c r="N10" i="9"/>
  <c r="V10" i="9"/>
  <c r="F11" i="9"/>
  <c r="N11" i="9"/>
  <c r="V11" i="9"/>
  <c r="F12" i="9"/>
  <c r="N12" i="9"/>
  <c r="V12" i="9"/>
  <c r="F13" i="9"/>
  <c r="N13" i="9"/>
  <c r="V13" i="9"/>
  <c r="F14" i="9"/>
  <c r="N14" i="9"/>
  <c r="V14" i="9"/>
  <c r="F15" i="9"/>
  <c r="N15" i="9"/>
  <c r="V15" i="9"/>
  <c r="F16" i="9"/>
  <c r="N16" i="9"/>
  <c r="V16" i="9"/>
  <c r="F17" i="9"/>
  <c r="N17" i="9"/>
  <c r="V17" i="9"/>
  <c r="F18" i="9"/>
  <c r="N18" i="9"/>
  <c r="V18" i="9"/>
  <c r="F19" i="9"/>
  <c r="N19" i="9"/>
  <c r="V19" i="9"/>
  <c r="F20" i="9"/>
  <c r="N20" i="9"/>
  <c r="V20" i="9"/>
  <c r="F21" i="9"/>
  <c r="N21" i="9"/>
  <c r="V21" i="9"/>
  <c r="F22" i="9"/>
  <c r="N22" i="9"/>
  <c r="V22" i="9"/>
  <c r="F23" i="9"/>
  <c r="N23" i="9"/>
  <c r="V23" i="9"/>
  <c r="F24" i="9"/>
  <c r="N24" i="9"/>
  <c r="V24" i="9"/>
  <c r="F25" i="9"/>
  <c r="N25" i="9"/>
  <c r="V25" i="9"/>
  <c r="F26" i="9"/>
  <c r="N26" i="9"/>
  <c r="V26" i="9"/>
  <c r="F27" i="9"/>
  <c r="N27" i="9"/>
  <c r="V27" i="9"/>
  <c r="F28" i="9"/>
  <c r="N28" i="9"/>
  <c r="V28" i="9"/>
  <c r="F29" i="9"/>
  <c r="N29" i="9"/>
  <c r="V29" i="9"/>
  <c r="F30" i="9"/>
  <c r="N30" i="9"/>
  <c r="V30" i="9"/>
  <c r="F31" i="9"/>
  <c r="N31" i="9"/>
  <c r="V31" i="9"/>
  <c r="F32" i="9"/>
  <c r="N32" i="9"/>
  <c r="V32" i="9"/>
  <c r="F33" i="9"/>
  <c r="G6" i="9"/>
  <c r="O6" i="9"/>
  <c r="W6" i="9"/>
  <c r="G7" i="9"/>
  <c r="O7" i="9"/>
  <c r="W7" i="9"/>
  <c r="G8" i="9"/>
  <c r="O8" i="9"/>
  <c r="W8" i="9"/>
  <c r="G9" i="9"/>
  <c r="O9" i="9"/>
  <c r="W9" i="9"/>
  <c r="G10" i="9"/>
  <c r="O10" i="9"/>
  <c r="I6" i="9"/>
  <c r="Q6" i="9"/>
  <c r="Y6" i="9"/>
  <c r="I7" i="9"/>
  <c r="Q7" i="9"/>
  <c r="Y7" i="9"/>
  <c r="I8" i="9"/>
  <c r="Q8" i="9"/>
  <c r="Y8" i="9"/>
  <c r="I9" i="9"/>
  <c r="Q9" i="9"/>
  <c r="Y9" i="9"/>
  <c r="I10" i="9"/>
  <c r="Q10" i="9"/>
  <c r="Y10" i="9"/>
  <c r="I11" i="9"/>
  <c r="Q11" i="9"/>
  <c r="Y11" i="9"/>
  <c r="I12" i="9"/>
  <c r="Q12" i="9"/>
  <c r="Y12" i="9"/>
  <c r="I13" i="9"/>
  <c r="Q13" i="9"/>
  <c r="Y13" i="9"/>
  <c r="I14" i="9"/>
  <c r="Q14" i="9"/>
  <c r="Y14" i="9"/>
  <c r="I15" i="9"/>
  <c r="Q15" i="9"/>
  <c r="Y15" i="9"/>
  <c r="I16" i="9"/>
  <c r="Q16" i="9"/>
  <c r="Y16" i="9"/>
  <c r="I17" i="9"/>
  <c r="Q17" i="9"/>
  <c r="Y17" i="9"/>
  <c r="I18" i="9"/>
  <c r="Q18" i="9"/>
  <c r="Y18" i="9"/>
  <c r="I19" i="9"/>
  <c r="Q19" i="9"/>
  <c r="Y19" i="9"/>
  <c r="I20" i="9"/>
  <c r="Q20" i="9"/>
  <c r="Y20" i="9"/>
  <c r="I21" i="9"/>
  <c r="Q21" i="9"/>
  <c r="J6" i="9"/>
  <c r="R6" i="9"/>
  <c r="Z6" i="9"/>
  <c r="J7" i="9"/>
  <c r="R7" i="9"/>
  <c r="Z7" i="9"/>
  <c r="J8" i="9"/>
  <c r="R8" i="9"/>
  <c r="Z8" i="9"/>
  <c r="J9" i="9"/>
  <c r="R9" i="9"/>
  <c r="Z9" i="9"/>
  <c r="J10" i="9"/>
  <c r="R10" i="9"/>
  <c r="Z10" i="9"/>
  <c r="J11" i="9"/>
  <c r="R11" i="9"/>
  <c r="Z11" i="9"/>
  <c r="J12" i="9"/>
  <c r="R12" i="9"/>
  <c r="H8" i="9"/>
  <c r="W10" i="9"/>
  <c r="G12" i="9"/>
  <c r="H13" i="9"/>
  <c r="G14" i="9"/>
  <c r="Z14" i="9"/>
  <c r="S15" i="9"/>
  <c r="K16" i="9"/>
  <c r="C17" i="9"/>
  <c r="S17" i="9"/>
  <c r="K18" i="9"/>
  <c r="C19" i="9"/>
  <c r="S19" i="9"/>
  <c r="K20" i="9"/>
  <c r="C21" i="9"/>
  <c r="S21" i="9"/>
  <c r="I22" i="9"/>
  <c r="W22" i="9"/>
  <c r="J23" i="9"/>
  <c r="U23" i="9"/>
  <c r="H24" i="9"/>
  <c r="R24" i="9"/>
  <c r="E25" i="9"/>
  <c r="P25" i="9"/>
  <c r="Z25" i="9"/>
  <c r="M26" i="9"/>
  <c r="X26" i="9"/>
  <c r="J27" i="9"/>
  <c r="S27" i="9"/>
  <c r="D28" i="9"/>
  <c r="M28" i="9"/>
  <c r="W28" i="9"/>
  <c r="H29" i="9"/>
  <c r="Q29" i="9"/>
  <c r="Z29" i="9"/>
  <c r="K30" i="9"/>
  <c r="T30" i="9"/>
  <c r="E31" i="9"/>
  <c r="O31" i="9"/>
  <c r="X31" i="9"/>
  <c r="I32" i="9"/>
  <c r="R32" i="9"/>
  <c r="C33" i="9"/>
  <c r="L33" i="9"/>
  <c r="T33" i="9"/>
  <c r="D34" i="9"/>
  <c r="L34" i="9"/>
  <c r="T34" i="9"/>
  <c r="D35" i="9"/>
  <c r="L35" i="9"/>
  <c r="T35" i="9"/>
  <c r="D36" i="9"/>
  <c r="L36" i="9"/>
  <c r="T36" i="9"/>
  <c r="D37" i="9"/>
  <c r="L37" i="9"/>
  <c r="T37" i="9"/>
  <c r="D38" i="9"/>
  <c r="L38" i="9"/>
  <c r="T38" i="9"/>
  <c r="D39" i="9"/>
  <c r="L39" i="9"/>
  <c r="T39" i="9"/>
  <c r="D40" i="9"/>
  <c r="L40" i="9"/>
  <c r="T40" i="9"/>
  <c r="D41" i="9"/>
  <c r="L41" i="9"/>
  <c r="T41" i="9"/>
  <c r="D42" i="9"/>
  <c r="L42" i="9"/>
  <c r="T42" i="9"/>
  <c r="D43" i="9"/>
  <c r="L43" i="9"/>
  <c r="T43" i="9"/>
  <c r="D44" i="9"/>
  <c r="L44" i="9"/>
  <c r="T44" i="9"/>
  <c r="D45" i="9"/>
  <c r="L45" i="9"/>
  <c r="T45" i="9"/>
  <c r="D46" i="9"/>
  <c r="L46" i="9"/>
  <c r="T46" i="9"/>
  <c r="P8" i="9"/>
  <c r="X10" i="9"/>
  <c r="H12" i="9"/>
  <c r="J13" i="9"/>
  <c r="H14" i="9"/>
  <c r="G15" i="9"/>
  <c r="W15" i="9"/>
  <c r="O16" i="9"/>
  <c r="G17" i="9"/>
  <c r="W17" i="9"/>
  <c r="O18" i="9"/>
  <c r="G19" i="9"/>
  <c r="W19" i="9"/>
  <c r="O20" i="9"/>
  <c r="G21" i="9"/>
  <c r="W21" i="9"/>
  <c r="J22" i="9"/>
  <c r="X22" i="9"/>
  <c r="K23" i="9"/>
  <c r="W23" i="9"/>
  <c r="I24" i="9"/>
  <c r="S24" i="9"/>
  <c r="G25" i="9"/>
  <c r="Q25" i="9"/>
  <c r="C26" i="9"/>
  <c r="O26" i="9"/>
  <c r="Y26" i="9"/>
  <c r="K27" i="9"/>
  <c r="T27" i="9"/>
  <c r="E28" i="9"/>
  <c r="O28" i="9"/>
  <c r="X28" i="9"/>
  <c r="I29" i="9"/>
  <c r="R29" i="9"/>
  <c r="C30" i="9"/>
  <c r="L30" i="9"/>
  <c r="U30" i="9"/>
  <c r="G31" i="9"/>
  <c r="P31" i="9"/>
  <c r="Y31" i="9"/>
  <c r="J32" i="9"/>
  <c r="S32" i="9"/>
  <c r="D33" i="9"/>
  <c r="M33" i="9"/>
  <c r="U33" i="9"/>
  <c r="E34" i="9"/>
  <c r="M34" i="9"/>
  <c r="U34" i="9"/>
  <c r="E35" i="9"/>
  <c r="M35" i="9"/>
  <c r="U35" i="9"/>
  <c r="E36" i="9"/>
  <c r="M36" i="9"/>
  <c r="U36" i="9"/>
  <c r="E37" i="9"/>
  <c r="M37" i="9"/>
  <c r="U37" i="9"/>
  <c r="E38" i="9"/>
  <c r="M38" i="9"/>
  <c r="U38" i="9"/>
  <c r="E39" i="9"/>
  <c r="M39" i="9"/>
  <c r="U39" i="9"/>
  <c r="E40" i="9"/>
  <c r="M40" i="9"/>
  <c r="U40" i="9"/>
  <c r="E41" i="9"/>
  <c r="M41" i="9"/>
  <c r="U41" i="9"/>
  <c r="E42" i="9"/>
  <c r="M42" i="9"/>
  <c r="U42" i="9"/>
  <c r="E43" i="9"/>
  <c r="M43" i="9"/>
  <c r="U43" i="9"/>
  <c r="E44" i="9"/>
  <c r="M44" i="9"/>
  <c r="U44" i="9"/>
  <c r="E45" i="9"/>
  <c r="M45" i="9"/>
  <c r="U45" i="9"/>
  <c r="P6" i="9"/>
  <c r="H9" i="9"/>
  <c r="H11" i="9"/>
  <c r="P12" i="9"/>
  <c r="P13" i="9"/>
  <c r="O14" i="9"/>
  <c r="J15" i="9"/>
  <c r="Z15" i="9"/>
  <c r="R16" i="9"/>
  <c r="J17" i="9"/>
  <c r="Z17" i="9"/>
  <c r="R18" i="9"/>
  <c r="J19" i="9"/>
  <c r="Z19" i="9"/>
  <c r="R20" i="9"/>
  <c r="J21" i="9"/>
  <c r="Y21" i="9"/>
  <c r="O22" i="9"/>
  <c r="Z22" i="9"/>
  <c r="O23" i="9"/>
  <c r="Y23" i="9"/>
  <c r="K24" i="9"/>
  <c r="W24" i="9"/>
  <c r="I25" i="9"/>
  <c r="S25" i="9"/>
  <c r="G26" i="9"/>
  <c r="Q26" i="9"/>
  <c r="C27" i="9"/>
  <c r="M27" i="9"/>
  <c r="W27" i="9"/>
  <c r="H28" i="9"/>
  <c r="Q28" i="9"/>
  <c r="Z28" i="9"/>
  <c r="K29" i="9"/>
  <c r="T29" i="9"/>
  <c r="E30" i="9"/>
  <c r="O30" i="9"/>
  <c r="X30" i="9"/>
  <c r="I31" i="9"/>
  <c r="R31" i="9"/>
  <c r="C32" i="9"/>
  <c r="L32" i="9"/>
  <c r="U32" i="9"/>
  <c r="G33" i="9"/>
  <c r="O33" i="9"/>
  <c r="W33" i="9"/>
  <c r="G34" i="9"/>
  <c r="O34" i="9"/>
  <c r="W34" i="9"/>
  <c r="G35" i="9"/>
  <c r="O35" i="9"/>
  <c r="W35" i="9"/>
  <c r="G36" i="9"/>
  <c r="O36" i="9"/>
  <c r="W36" i="9"/>
  <c r="G37" i="9"/>
  <c r="O37" i="9"/>
  <c r="W37" i="9"/>
  <c r="G38" i="9"/>
  <c r="O38" i="9"/>
  <c r="W38" i="9"/>
  <c r="G39" i="9"/>
  <c r="O39" i="9"/>
  <c r="W39" i="9"/>
  <c r="G40" i="9"/>
  <c r="O40" i="9"/>
  <c r="W40" i="9"/>
  <c r="G41" i="9"/>
  <c r="O41" i="9"/>
  <c r="W41" i="9"/>
  <c r="G42" i="9"/>
  <c r="O42" i="9"/>
  <c r="W42" i="9"/>
  <c r="G43" i="9"/>
  <c r="O43" i="9"/>
  <c r="W43" i="9"/>
  <c r="G44" i="9"/>
  <c r="O44" i="9"/>
  <c r="W44" i="9"/>
  <c r="G45" i="9"/>
  <c r="O45" i="9"/>
  <c r="W45" i="9"/>
  <c r="X6" i="9"/>
  <c r="P9" i="9"/>
  <c r="O11" i="9"/>
  <c r="W12" i="9"/>
  <c r="R13" i="9"/>
  <c r="P14" i="9"/>
  <c r="K15" i="9"/>
  <c r="C16" i="9"/>
  <c r="S16" i="9"/>
  <c r="K17" i="9"/>
  <c r="C18" i="9"/>
  <c r="S18" i="9"/>
  <c r="K19" i="9"/>
  <c r="C20" i="9"/>
  <c r="S20" i="9"/>
  <c r="K21" i="9"/>
  <c r="Z21" i="9"/>
  <c r="P22" i="9"/>
  <c r="C23" i="9"/>
  <c r="P23" i="9"/>
  <c r="Z23" i="9"/>
  <c r="M24" i="9"/>
  <c r="X24" i="9"/>
  <c r="J25" i="9"/>
  <c r="U25" i="9"/>
  <c r="H26" i="9"/>
  <c r="R26" i="9"/>
  <c r="E27" i="9"/>
  <c r="O27" i="9"/>
  <c r="X27" i="9"/>
  <c r="I28" i="9"/>
  <c r="R28" i="9"/>
  <c r="C29" i="9"/>
  <c r="L29" i="9"/>
  <c r="U29" i="9"/>
  <c r="G30" i="9"/>
  <c r="P30" i="9"/>
  <c r="Y30" i="9"/>
  <c r="J31" i="9"/>
  <c r="S31" i="9"/>
  <c r="D32" i="9"/>
  <c r="M32" i="9"/>
  <c r="W32" i="9"/>
  <c r="H33" i="9"/>
  <c r="P33" i="9"/>
  <c r="X33" i="9"/>
  <c r="H34" i="9"/>
  <c r="P34" i="9"/>
  <c r="X34" i="9"/>
  <c r="H35" i="9"/>
  <c r="P35" i="9"/>
  <c r="X35" i="9"/>
  <c r="H36" i="9"/>
  <c r="P36" i="9"/>
  <c r="X36" i="9"/>
  <c r="H37" i="9"/>
  <c r="P37" i="9"/>
  <c r="X37" i="9"/>
  <c r="H38" i="9"/>
  <c r="P38" i="9"/>
  <c r="X38" i="9"/>
  <c r="H39" i="9"/>
  <c r="P39" i="9"/>
  <c r="X39" i="9"/>
  <c r="H40" i="9"/>
  <c r="P40" i="9"/>
  <c r="X40" i="9"/>
  <c r="H41" i="9"/>
  <c r="P41" i="9"/>
  <c r="X41" i="9"/>
  <c r="H42" i="9"/>
  <c r="P42" i="9"/>
  <c r="X42" i="9"/>
  <c r="H43" i="9"/>
  <c r="P43" i="9"/>
  <c r="X43" i="9"/>
  <c r="H44" i="9"/>
  <c r="P44" i="9"/>
  <c r="X44" i="9"/>
  <c r="H45" i="9"/>
  <c r="P45" i="9"/>
  <c r="X45" i="9"/>
  <c r="H46" i="9"/>
  <c r="P46" i="9"/>
  <c r="X7" i="9"/>
  <c r="P10" i="9"/>
  <c r="X11" i="9"/>
  <c r="G13" i="9"/>
  <c r="Z13" i="9"/>
  <c r="X14" i="9"/>
  <c r="R15" i="9"/>
  <c r="J16" i="9"/>
  <c r="Z16" i="9"/>
  <c r="R17" i="9"/>
  <c r="J18" i="9"/>
  <c r="Z18" i="9"/>
  <c r="R19" i="9"/>
  <c r="J20" i="9"/>
  <c r="Z20" i="9"/>
  <c r="R21" i="9"/>
  <c r="H22" i="9"/>
  <c r="S22" i="9"/>
  <c r="I23" i="9"/>
  <c r="S23" i="9"/>
  <c r="G24" i="9"/>
  <c r="Q24" i="9"/>
  <c r="C25" i="9"/>
  <c r="O25" i="9"/>
  <c r="Y25" i="9"/>
  <c r="K26" i="9"/>
  <c r="W26" i="9"/>
  <c r="I27" i="9"/>
  <c r="R27" i="9"/>
  <c r="C28" i="9"/>
  <c r="L28" i="9"/>
  <c r="U28" i="9"/>
  <c r="G29" i="9"/>
  <c r="P29" i="9"/>
  <c r="Y29" i="9"/>
  <c r="J30" i="9"/>
  <c r="S30" i="9"/>
  <c r="D31" i="9"/>
  <c r="M31" i="9"/>
  <c r="W31" i="9"/>
  <c r="H32" i="9"/>
  <c r="Q32" i="9"/>
  <c r="Z32" i="9"/>
  <c r="K33" i="9"/>
  <c r="S33" i="9"/>
  <c r="C34" i="9"/>
  <c r="K34" i="9"/>
  <c r="S34" i="9"/>
  <c r="C35" i="9"/>
  <c r="K35" i="9"/>
  <c r="S35" i="9"/>
  <c r="C36" i="9"/>
  <c r="K36" i="9"/>
  <c r="S36" i="9"/>
  <c r="C37" i="9"/>
  <c r="K37" i="9"/>
  <c r="S37" i="9"/>
  <c r="C38" i="9"/>
  <c r="K38" i="9"/>
  <c r="S38" i="9"/>
  <c r="C39" i="9"/>
  <c r="K39" i="9"/>
  <c r="S39" i="9"/>
  <c r="C40" i="9"/>
  <c r="K40" i="9"/>
  <c r="H6" i="9"/>
  <c r="W11" i="9"/>
  <c r="R14" i="9"/>
  <c r="P16" i="9"/>
  <c r="H18" i="9"/>
  <c r="G20" i="9"/>
  <c r="X21" i="9"/>
  <c r="H23" i="9"/>
  <c r="O24" i="9"/>
  <c r="R25" i="9"/>
  <c r="U26" i="9"/>
  <c r="Y27" i="9"/>
  <c r="Y28" i="9"/>
  <c r="X29" i="9"/>
  <c r="Z30" i="9"/>
  <c r="Z31" i="9"/>
  <c r="Y32" i="9"/>
  <c r="Y33" i="9"/>
  <c r="V34" i="9"/>
  <c r="R35" i="9"/>
  <c r="Q36" i="9"/>
  <c r="N37" i="9"/>
  <c r="J38" i="9"/>
  <c r="I39" i="9"/>
  <c r="F40" i="9"/>
  <c r="Y40" i="9"/>
  <c r="Q41" i="9"/>
  <c r="I42" i="9"/>
  <c r="Y42" i="9"/>
  <c r="Q43" i="9"/>
  <c r="I44" i="9"/>
  <c r="Y44" i="9"/>
  <c r="Q45" i="9"/>
  <c r="F46" i="9"/>
  <c r="Q46" i="9"/>
  <c r="Z46" i="9"/>
  <c r="J47" i="9"/>
  <c r="R47" i="9"/>
  <c r="Z47" i="9"/>
  <c r="J48" i="9"/>
  <c r="R48" i="9"/>
  <c r="Z48" i="9"/>
  <c r="J49" i="9"/>
  <c r="R49" i="9"/>
  <c r="Z49" i="9"/>
  <c r="J50" i="9"/>
  <c r="R50" i="9"/>
  <c r="Z50" i="9"/>
  <c r="J51" i="9"/>
  <c r="R51" i="9"/>
  <c r="Z51" i="9"/>
  <c r="J52" i="9"/>
  <c r="R52" i="9"/>
  <c r="Z52" i="9"/>
  <c r="J53" i="9"/>
  <c r="R53" i="9"/>
  <c r="Z53" i="9"/>
  <c r="J54" i="9"/>
  <c r="R54" i="9"/>
  <c r="Z54" i="9"/>
  <c r="J55" i="9"/>
  <c r="R55" i="9"/>
  <c r="Z55" i="9"/>
  <c r="J56" i="9"/>
  <c r="R56" i="9"/>
  <c r="Z56" i="9"/>
  <c r="J57" i="9"/>
  <c r="R57" i="9"/>
  <c r="Z57" i="9"/>
  <c r="J58" i="9"/>
  <c r="R58" i="9"/>
  <c r="Z58" i="9"/>
  <c r="J59" i="9"/>
  <c r="R59" i="9"/>
  <c r="Z59" i="9"/>
  <c r="J60" i="9"/>
  <c r="R60" i="9"/>
  <c r="Z60" i="9"/>
  <c r="J61" i="9"/>
  <c r="R61" i="9"/>
  <c r="Z61" i="9"/>
  <c r="J62" i="9"/>
  <c r="R62" i="9"/>
  <c r="Z62" i="9"/>
  <c r="J63" i="9"/>
  <c r="R63" i="9"/>
  <c r="H7" i="9"/>
  <c r="O12" i="9"/>
  <c r="W14" i="9"/>
  <c r="W16" i="9"/>
  <c r="P18" i="9"/>
  <c r="H20" i="9"/>
  <c r="C22" i="9"/>
  <c r="M23" i="9"/>
  <c r="P24" i="9"/>
  <c r="W25" i="9"/>
  <c r="Z26" i="9"/>
  <c r="Z27" i="9"/>
  <c r="D29" i="9"/>
  <c r="D30" i="9"/>
  <c r="C31" i="9"/>
  <c r="E32" i="9"/>
  <c r="E33" i="9"/>
  <c r="Z33" i="9"/>
  <c r="Y34" i="9"/>
  <c r="V35" i="9"/>
  <c r="R36" i="9"/>
  <c r="Q37" i="9"/>
  <c r="N38" i="9"/>
  <c r="J39" i="9"/>
  <c r="I40" i="9"/>
  <c r="Z40" i="9"/>
  <c r="R41" i="9"/>
  <c r="J42" i="9"/>
  <c r="Z42" i="9"/>
  <c r="R43" i="9"/>
  <c r="J44" i="9"/>
  <c r="Z44" i="9"/>
  <c r="R45" i="9"/>
  <c r="G46" i="9"/>
  <c r="R46" i="9"/>
  <c r="C47" i="9"/>
  <c r="K47" i="9"/>
  <c r="S47" i="9"/>
  <c r="C48" i="9"/>
  <c r="K48" i="9"/>
  <c r="S48" i="9"/>
  <c r="C49" i="9"/>
  <c r="K49" i="9"/>
  <c r="S49" i="9"/>
  <c r="C50" i="9"/>
  <c r="K50" i="9"/>
  <c r="S50" i="9"/>
  <c r="C51" i="9"/>
  <c r="K51" i="9"/>
  <c r="S51" i="9"/>
  <c r="C52" i="9"/>
  <c r="K52" i="9"/>
  <c r="S52" i="9"/>
  <c r="C53" i="9"/>
  <c r="K53" i="9"/>
  <c r="S53" i="9"/>
  <c r="C54" i="9"/>
  <c r="K54" i="9"/>
  <c r="S54" i="9"/>
  <c r="C55" i="9"/>
  <c r="K55" i="9"/>
  <c r="S55" i="9"/>
  <c r="C56" i="9"/>
  <c r="K56" i="9"/>
  <c r="S56" i="9"/>
  <c r="C57" i="9"/>
  <c r="K57" i="9"/>
  <c r="S57" i="9"/>
  <c r="C58" i="9"/>
  <c r="K58" i="9"/>
  <c r="S58" i="9"/>
  <c r="C59" i="9"/>
  <c r="K59" i="9"/>
  <c r="S59" i="9"/>
  <c r="C60" i="9"/>
  <c r="K60" i="9"/>
  <c r="S60" i="9"/>
  <c r="C61" i="9"/>
  <c r="K61" i="9"/>
  <c r="S61" i="9"/>
  <c r="C62" i="9"/>
  <c r="K62" i="9"/>
  <c r="S62" i="9"/>
  <c r="C63" i="9"/>
  <c r="K63" i="9"/>
  <c r="X8" i="9"/>
  <c r="Z12" i="9"/>
  <c r="O15" i="9"/>
  <c r="H17" i="9"/>
  <c r="X18" i="9"/>
  <c r="W20" i="9"/>
  <c r="K22" i="9"/>
  <c r="R23" i="9"/>
  <c r="Y24" i="9"/>
  <c r="E26" i="9"/>
  <c r="H27" i="9"/>
  <c r="J28" i="9"/>
  <c r="J29" i="9"/>
  <c r="I30" i="9"/>
  <c r="K31" i="9"/>
  <c r="K32" i="9"/>
  <c r="J33" i="9"/>
  <c r="I34" i="9"/>
  <c r="F35" i="9"/>
  <c r="Z35" i="9"/>
  <c r="Y36" i="9"/>
  <c r="V37" i="9"/>
  <c r="R38" i="9"/>
  <c r="Q39" i="9"/>
  <c r="N40" i="9"/>
  <c r="F41" i="9"/>
  <c r="V41" i="9"/>
  <c r="N42" i="9"/>
  <c r="F43" i="9"/>
  <c r="V43" i="9"/>
  <c r="N44" i="9"/>
  <c r="F45" i="9"/>
  <c r="V45" i="9"/>
  <c r="J46" i="9"/>
  <c r="U46" i="9"/>
  <c r="E47" i="9"/>
  <c r="M47" i="9"/>
  <c r="U47" i="9"/>
  <c r="E48" i="9"/>
  <c r="M48" i="9"/>
  <c r="U48" i="9"/>
  <c r="E49" i="9"/>
  <c r="M49" i="9"/>
  <c r="U49" i="9"/>
  <c r="E50" i="9"/>
  <c r="M50" i="9"/>
  <c r="U50" i="9"/>
  <c r="E51" i="9"/>
  <c r="M51" i="9"/>
  <c r="U51" i="9"/>
  <c r="E52" i="9"/>
  <c r="M52" i="9"/>
  <c r="U52" i="9"/>
  <c r="E53" i="9"/>
  <c r="M53" i="9"/>
  <c r="U53" i="9"/>
  <c r="E54" i="9"/>
  <c r="M54" i="9"/>
  <c r="U54" i="9"/>
  <c r="E55" i="9"/>
  <c r="M55" i="9"/>
  <c r="U55" i="9"/>
  <c r="E56" i="9"/>
  <c r="M56" i="9"/>
  <c r="U56" i="9"/>
  <c r="E57" i="9"/>
  <c r="M57" i="9"/>
  <c r="U57" i="9"/>
  <c r="E58" i="9"/>
  <c r="M58" i="9"/>
  <c r="U58" i="9"/>
  <c r="E59" i="9"/>
  <c r="M59" i="9"/>
  <c r="U59" i="9"/>
  <c r="E60" i="9"/>
  <c r="M60" i="9"/>
  <c r="U60" i="9"/>
  <c r="E61" i="9"/>
  <c r="M61" i="9"/>
  <c r="U61" i="9"/>
  <c r="E62" i="9"/>
  <c r="M62" i="9"/>
  <c r="U62" i="9"/>
  <c r="E63" i="9"/>
  <c r="M63" i="9"/>
  <c r="U63" i="9"/>
  <c r="F5" i="9"/>
  <c r="N5" i="9"/>
  <c r="V5" i="9"/>
  <c r="X9" i="9"/>
  <c r="O13" i="9"/>
  <c r="P15" i="9"/>
  <c r="O17" i="9"/>
  <c r="H19" i="9"/>
  <c r="X20" i="9"/>
  <c r="Q22" i="9"/>
  <c r="X23" i="9"/>
  <c r="Z24" i="9"/>
  <c r="I26" i="9"/>
  <c r="L27" i="9"/>
  <c r="K28" i="9"/>
  <c r="M29" i="9"/>
  <c r="M30" i="9"/>
  <c r="L31" i="9"/>
  <c r="O32" i="9"/>
  <c r="N33" i="9"/>
  <c r="J34" i="9"/>
  <c r="I35" i="9"/>
  <c r="F36" i="9"/>
  <c r="Z36" i="9"/>
  <c r="Y37" i="9"/>
  <c r="V38" i="9"/>
  <c r="R39" i="9"/>
  <c r="Q40" i="9"/>
  <c r="I41" i="9"/>
  <c r="Y41" i="9"/>
  <c r="Q42" i="9"/>
  <c r="I43" i="9"/>
  <c r="Y43" i="9"/>
  <c r="Q44" i="9"/>
  <c r="I45" i="9"/>
  <c r="Y45" i="9"/>
  <c r="K46" i="9"/>
  <c r="V46" i="9"/>
  <c r="F47" i="9"/>
  <c r="N47" i="9"/>
  <c r="V47" i="9"/>
  <c r="F48" i="9"/>
  <c r="N48" i="9"/>
  <c r="V48" i="9"/>
  <c r="F49" i="9"/>
  <c r="N49" i="9"/>
  <c r="V49" i="9"/>
  <c r="F50" i="9"/>
  <c r="N50" i="9"/>
  <c r="V50" i="9"/>
  <c r="F51" i="9"/>
  <c r="N51" i="9"/>
  <c r="V51" i="9"/>
  <c r="F52" i="9"/>
  <c r="N52" i="9"/>
  <c r="V52" i="9"/>
  <c r="F53" i="9"/>
  <c r="N53" i="9"/>
  <c r="V53" i="9"/>
  <c r="F54" i="9"/>
  <c r="N54" i="9"/>
  <c r="V54" i="9"/>
  <c r="F55" i="9"/>
  <c r="N55" i="9"/>
  <c r="V55" i="9"/>
  <c r="F56" i="9"/>
  <c r="N56" i="9"/>
  <c r="V56" i="9"/>
  <c r="F57" i="9"/>
  <c r="V57" i="9"/>
  <c r="F58" i="9"/>
  <c r="P11" i="9"/>
  <c r="J14" i="9"/>
  <c r="H16" i="9"/>
  <c r="G18" i="9"/>
  <c r="X19" i="9"/>
  <c r="P21" i="9"/>
  <c r="G23" i="9"/>
  <c r="J24" i="9"/>
  <c r="M25" i="9"/>
  <c r="S26" i="9"/>
  <c r="U27" i="9"/>
  <c r="T28" i="9"/>
  <c r="W29" i="9"/>
  <c r="W30" i="9"/>
  <c r="U31" i="9"/>
  <c r="X32" i="9"/>
  <c r="V33" i="9"/>
  <c r="R34" i="9"/>
  <c r="Q35" i="9"/>
  <c r="N36" i="9"/>
  <c r="J37" i="9"/>
  <c r="I38" i="9"/>
  <c r="F39" i="9"/>
  <c r="Z39" i="9"/>
  <c r="V40" i="9"/>
  <c r="N41" i="9"/>
  <c r="F42" i="9"/>
  <c r="V42" i="9"/>
  <c r="N43" i="9"/>
  <c r="F44" i="9"/>
  <c r="V44" i="9"/>
  <c r="N45" i="9"/>
  <c r="E46" i="9"/>
  <c r="O46" i="9"/>
  <c r="Y46" i="9"/>
  <c r="I47" i="9"/>
  <c r="Q47" i="9"/>
  <c r="Y47" i="9"/>
  <c r="I48" i="9"/>
  <c r="Q48" i="9"/>
  <c r="Y48" i="9"/>
  <c r="I49" i="9"/>
  <c r="Q49" i="9"/>
  <c r="Y49" i="9"/>
  <c r="I50" i="9"/>
  <c r="Q50" i="9"/>
  <c r="Y50" i="9"/>
  <c r="I51" i="9"/>
  <c r="Q51" i="9"/>
  <c r="Y51" i="9"/>
  <c r="I52" i="9"/>
  <c r="Q52" i="9"/>
  <c r="Y52" i="9"/>
  <c r="I53" i="9"/>
  <c r="Q53" i="9"/>
  <c r="Y53" i="9"/>
  <c r="I54" i="9"/>
  <c r="Q54" i="9"/>
  <c r="Y54" i="9"/>
  <c r="I55" i="9"/>
  <c r="Q55" i="9"/>
  <c r="Y55" i="9"/>
  <c r="I56" i="9"/>
  <c r="Q56" i="9"/>
  <c r="Y56" i="9"/>
  <c r="I57" i="9"/>
  <c r="Q57" i="9"/>
  <c r="Y57" i="9"/>
  <c r="I58" i="9"/>
  <c r="Q58" i="9"/>
  <c r="S5" i="9"/>
  <c r="J5" i="9"/>
  <c r="X63" i="9"/>
  <c r="N63" i="9"/>
  <c r="X62" i="9"/>
  <c r="L62" i="9"/>
  <c r="W61" i="9"/>
  <c r="I61" i="9"/>
  <c r="V60" i="9"/>
  <c r="H60" i="9"/>
  <c r="T59" i="9"/>
  <c r="G59" i="9"/>
  <c r="P58" i="9"/>
  <c r="W57" i="9"/>
  <c r="D57" i="9"/>
  <c r="G56" i="9"/>
  <c r="H55" i="9"/>
  <c r="L54" i="9"/>
  <c r="O53" i="9"/>
  <c r="P52" i="9"/>
  <c r="T51" i="9"/>
  <c r="W50" i="9"/>
  <c r="X49" i="9"/>
  <c r="D49" i="9"/>
  <c r="G48" i="9"/>
  <c r="H47" i="9"/>
  <c r="I46" i="9"/>
  <c r="R44" i="9"/>
  <c r="S42" i="9"/>
  <c r="C41" i="9"/>
  <c r="Y38" i="9"/>
  <c r="J36" i="9"/>
  <c r="F34" i="9"/>
  <c r="Q31" i="9"/>
  <c r="S28" i="9"/>
  <c r="X25" i="9"/>
  <c r="R22" i="9"/>
  <c r="X17" i="9"/>
  <c r="X12" i="9"/>
  <c r="G11" i="9"/>
  <c r="Z5" i="9"/>
  <c r="Q5" i="9"/>
  <c r="H5" i="9"/>
  <c r="V63" i="9"/>
  <c r="I63" i="9"/>
  <c r="V62" i="9"/>
  <c r="H62" i="9"/>
  <c r="T61" i="9"/>
  <c r="G61" i="9"/>
  <c r="Q60" i="9"/>
  <c r="F60" i="9"/>
  <c r="P59" i="9"/>
  <c r="D59" i="9"/>
  <c r="N58" i="9"/>
  <c r="P57" i="9"/>
  <c r="W56" i="9"/>
  <c r="X55" i="9"/>
  <c r="D55" i="9"/>
  <c r="G54" i="9"/>
  <c r="H53" i="9"/>
  <c r="L52" i="9"/>
  <c r="O51" i="9"/>
  <c r="P50" i="9"/>
  <c r="T49" i="9"/>
  <c r="W48" i="9"/>
  <c r="X47" i="9"/>
  <c r="D47" i="9"/>
  <c r="Z45" i="9"/>
  <c r="C44" i="9"/>
  <c r="K42" i="9"/>
  <c r="R40" i="9"/>
  <c r="F38" i="9"/>
  <c r="Y35" i="9"/>
  <c r="Q33" i="9"/>
  <c r="R30" i="9"/>
  <c r="G28" i="9"/>
  <c r="H25" i="9"/>
  <c r="O21" i="9"/>
  <c r="X16" i="9"/>
  <c r="H10" i="9"/>
  <c r="Y58" i="9"/>
  <c r="L58" i="9"/>
  <c r="O57" i="9"/>
  <c r="T56" i="9"/>
  <c r="W55" i="9"/>
  <c r="X54" i="9"/>
  <c r="D54" i="9"/>
  <c r="G53" i="9"/>
  <c r="H52" i="9"/>
  <c r="L51" i="9"/>
  <c r="O50" i="9"/>
  <c r="P49" i="9"/>
  <c r="T48" i="9"/>
  <c r="W47" i="9"/>
  <c r="X46" i="9"/>
  <c r="S45" i="9"/>
  <c r="Z43" i="9"/>
  <c r="C42" i="9"/>
  <c r="J40" i="9"/>
  <c r="Z37" i="9"/>
  <c r="N35" i="9"/>
  <c r="I33" i="9"/>
  <c r="Q30" i="9"/>
  <c r="Q27" i="9"/>
  <c r="U24" i="9"/>
  <c r="H21" i="9"/>
  <c r="G16" i="9"/>
  <c r="P7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</author>
    <author>Marcus Nóbrega</author>
  </authors>
  <commentList>
    <comment ref="C6" authorId="0" shapeId="0" xr:uid="{86D5466D-4BFA-44DB-A538-283DD9B38739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Initial of the simulation</t>
        </r>
      </text>
    </comment>
    <comment ref="F6" authorId="0" shapeId="0" xr:uid="{10F277AE-7B81-4884-AE05-CCE95C41FD0A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y discretization of the mesh. Y are in the rows of the matrices.
</t>
        </r>
      </text>
    </comment>
    <comment ref="I6" authorId="0" shapeId="0" xr:uid="{82DD8D42-C0C8-4DE7-A033-93D7E15276E2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Name of the simulation</t>
        </r>
      </text>
    </comment>
    <comment ref="C7" authorId="0" shapeId="0" xr:uid="{9F5D14EC-A44B-4176-85A0-CE0086B9DA0D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End of the simulation</t>
        </r>
      </text>
    </comment>
    <comment ref="F7" authorId="0" shapeId="0" xr:uid="{A22EE34E-7025-468B-B650-2934AFD3B1B9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Number of columns of the matrices of GW modeling</t>
        </r>
      </text>
    </comment>
    <comment ref="C8" authorId="0" shapeId="0" xr:uid="{1A108B9E-4F03-467E-9634-C84E49EC855C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Interval from t0 that results will be saved</t>
        </r>
      </text>
    </comment>
    <comment ref="F8" authorId="0" shapeId="0" xr:uid="{3A595EA2-10CA-4DA1-B6DB-4C6BF4548CF6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Domain width [m]</t>
        </r>
      </text>
    </comment>
    <comment ref="C9" authorId="0" shapeId="0" xr:uid="{E7FC4AD6-ED4D-4D31-8061-E35A44ED51F5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Unsaturated model time-step</t>
        </r>
      </text>
    </comment>
    <comment ref="F9" authorId="0" shapeId="0" xr:uid="{812FDFCE-5E0A-4D38-8E4D-D4701FC24565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Domain length [m]</t>
        </r>
      </text>
    </comment>
    <comment ref="C10" authorId="0" shapeId="0" xr:uid="{C02BAA5E-0AF8-4668-BCFD-74C4FEBD115D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Groundwater 2D boussinesq model time-step</t>
        </r>
      </text>
    </comment>
    <comment ref="F10" authorId="0" shapeId="0" xr:uid="{4B7610A3-5E00-4324-99E9-CE11642B4DAF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Aquifer tickness</t>
        </r>
      </text>
    </comment>
    <comment ref="C11" authorId="0" shapeId="0" xr:uid="{CF4EEABC-5B0A-4E47-9FC0-455279EED517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Adaptive time-step for UZ model. 1 if yes, 0 if no.</t>
        </r>
      </text>
    </comment>
    <comment ref="C12" authorId="0" shapeId="0" xr:uid="{CAE6FD35-5BD3-4C30-B8D9-DB3CC961AD37}">
      <text>
        <r>
          <rPr>
            <b/>
            <sz val="9"/>
            <color indexed="81"/>
            <rFont val="Tahoma"/>
            <family val="2"/>
          </rPr>
          <t xml:space="preserve">Marcus:
</t>
        </r>
        <r>
          <rPr>
            <sz val="9"/>
            <color indexed="81"/>
            <rFont val="Tahoma"/>
            <family val="2"/>
          </rPr>
          <t>Adaptive time-step for GW model. 1 if yes, 0 if no</t>
        </r>
      </text>
    </comment>
    <comment ref="F12" authorId="1" shapeId="0" xr:uid="{C0B3FCC9-67E0-4180-970D-8C2AC6C71F1C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Van Genutchen n</t>
        </r>
      </text>
    </comment>
    <comment ref="C13" authorId="0" shapeId="0" xr:uid="{D61346CE-6B43-4E3F-983C-FE74183E4500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If 1, we are modeling particle filters. Please go to the tab "Assimilation_Data" to enter the data required</t>
        </r>
      </text>
    </comment>
    <comment ref="F13" authorId="1" shapeId="0" xr:uid="{B8C7183F-C2C5-4114-821F-8AA4427959C2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Moisture déficit (theta_sat - theta_r) or effective porosity </t>
        </r>
      </text>
    </comment>
    <comment ref="F14" authorId="1" shapeId="0" xr:uid="{0FEE52F3-5E36-45F6-86E2-EFF5AAEE2474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Van genutchen alpha.  Negative quantity
</t>
        </r>
      </text>
    </comment>
    <comment ref="F15" authorId="1" shapeId="0" xr:uid="{F988B0AD-9D21-442A-A5F8-74FF9DC5997D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UZ reservoir constant, such that 
dSUz/dt = Irrigation - N,
where N is the recharge given by
N(t) = k*S(t)</t>
        </r>
      </text>
    </comment>
    <comment ref="F16" authorId="1" shapeId="0" xr:uid="{38E588AD-C5E5-4A2A-8D22-735C47B59D71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Initial UZ reservoir storage in mm</t>
        </r>
      </text>
    </comment>
    <comment ref="F17" authorId="1" shapeId="0" xr:uid="{B89F820D-0B3E-46FF-AAA5-6B4A8A116A69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Damping factor in irrigation, such that irrigation = irrigation * d_f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Nóbrega</author>
  </authors>
  <commentList>
    <comment ref="C6" authorId="0" shapeId="0" xr:uid="{4D839CE3-B76B-4B63-A13A-A69BBAE24E88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Added a 1/1000 (mwt) value at the dirchlet zero head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</author>
  </authors>
  <commentList>
    <comment ref="C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Rainfall used in the hydrologic model of the watershed</t>
        </r>
      </text>
    </comment>
    <comment ref="D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Marcus:</t>
        </r>
        <r>
          <rPr>
            <sz val="9"/>
            <color indexed="81"/>
            <rFont val="Tahoma"/>
            <family val="2"/>
          </rPr>
          <t xml:space="preserve">
ETP input in the 1-D media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Nóbrega</author>
  </authors>
  <commentList>
    <comment ref="C15" authorId="0" shapeId="0" xr:uid="{5FC8AA28-58B3-43A6-A5EE-9ADB073B7907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Number of particles</t>
        </r>
      </text>
    </comment>
    <comment ref="C17" authorId="0" shapeId="0" xr:uid="{B8C986BC-B910-4420-A9DF-168910CCF841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1 means we will assimilate discharge, 0 we won't.</t>
        </r>
      </text>
    </comment>
    <comment ref="C19" authorId="0" shapeId="0" xr:uid="{07B7CF3C-3875-48DD-AD3A-EC82E4B7E803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Measurement std used to compute particle weight</t>
        </r>
      </text>
    </comment>
    <comment ref="C21" authorId="0" shapeId="0" xr:uid="{F9332C56-8BF5-454D-9768-46FDAE99916B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Measurement std used to compute particle weight</t>
        </r>
      </text>
    </comment>
    <comment ref="B23" authorId="0" shapeId="0" xr:uid="{278503E4-39F2-482E-81E0-E94BC2273339}">
      <text>
        <r>
          <rPr>
            <b/>
            <sz val="9"/>
            <color indexed="81"/>
            <rFont val="Tahoma"/>
            <family val="2"/>
          </rPr>
          <t>Marcus Nóbrega:</t>
        </r>
        <r>
          <rPr>
            <sz val="9"/>
            <color indexed="81"/>
            <rFont val="Tahoma"/>
            <family val="2"/>
          </rPr>
          <t xml:space="preserve">
1 means the gauge will be used in the assimilation. If you don't want to use any gauge, please enter 0 for all of them</t>
        </r>
      </text>
    </comment>
  </commentList>
</comments>
</file>

<file path=xl/sharedStrings.xml><?xml version="1.0" encoding="utf-8"?>
<sst xmlns="http://schemas.openxmlformats.org/spreadsheetml/2006/main" count="181" uniqueCount="107">
  <si>
    <t>Time (min)</t>
  </si>
  <si>
    <t>Hydrologic Input</t>
  </si>
  <si>
    <r>
      <t xml:space="preserve">ETP </t>
    </r>
    <r>
      <rPr>
        <sz val="12"/>
        <color theme="1"/>
        <rFont val="Garamond"/>
        <family val="1"/>
      </rPr>
      <t>(mm/h)</t>
    </r>
  </si>
  <si>
    <t>Running Control</t>
  </si>
  <si>
    <t>tfinal</t>
  </si>
  <si>
    <t>m</t>
  </si>
  <si>
    <t>Time-Stepping</t>
  </si>
  <si>
    <t>t0</t>
  </si>
  <si>
    <t>sec</t>
  </si>
  <si>
    <t>tsave</t>
  </si>
  <si>
    <t>dtUZ</t>
  </si>
  <si>
    <t>dtGW</t>
  </si>
  <si>
    <t>AdaptiveUZ</t>
  </si>
  <si>
    <t>AdaptiveGW</t>
  </si>
  <si>
    <t>Grid Discretization</t>
  </si>
  <si>
    <t>ny</t>
  </si>
  <si>
    <t>nx</t>
  </si>
  <si>
    <t>Setup Name</t>
  </si>
  <si>
    <t>Groundwater Model</t>
  </si>
  <si>
    <t>y [cells]</t>
  </si>
  <si>
    <t>x[cells]</t>
  </si>
  <si>
    <t>Instructions:</t>
  </si>
  <si>
    <t>Paste the DEM data where y is the vertical axis en x is the horizontal axis</t>
  </si>
  <si>
    <t>Soil Depth [m]</t>
  </si>
  <si>
    <t>Surface Elevation [m]</t>
  </si>
  <si>
    <t>Initial GW Depth [m]</t>
  </si>
  <si>
    <t>Boundary Conditions at the Perimeter</t>
  </si>
  <si>
    <t>Boundary Conditions</t>
  </si>
  <si>
    <t>Enter the index of each boundary condition. The indexes entered in this matrix are associated with the B.C entered in the input data</t>
  </si>
  <si>
    <t>Neumann B.C</t>
  </si>
  <si>
    <t>Dirichlet Index</t>
  </si>
  <si>
    <t>Neumann B.C  [flux in m/s]</t>
  </si>
  <si>
    <t>Setup Options</t>
  </si>
  <si>
    <t>Name of the Simulation</t>
  </si>
  <si>
    <t>Paste the initial GW table data [m] where y is the vertical axis and x is the horizontal axis</t>
  </si>
  <si>
    <t>Paste the DEM data where y is the vertical axis in x is the horizontal axis</t>
  </si>
  <si>
    <t>GW Ksat [m/s]</t>
  </si>
  <si>
    <t>Paste the initial GW saturated hydraulic conductivity data [m/s] where y is the vertical axis and x is the horizontal axis</t>
  </si>
  <si>
    <t>Specific Yield [-]</t>
  </si>
  <si>
    <t>Paste the initial Specific Yield data [-] where y is the vertical axis and x is the horizontal axis</t>
  </si>
  <si>
    <t>Recharge rate [mm/h]</t>
  </si>
  <si>
    <t>H</t>
  </si>
  <si>
    <t>Width</t>
  </si>
  <si>
    <t>Length</t>
  </si>
  <si>
    <t>Dirichlet Value [head  in m]</t>
  </si>
  <si>
    <t>2D Boussinesq Model</t>
  </si>
  <si>
    <t>factor</t>
  </si>
  <si>
    <t>UZ Surrogate Model</t>
  </si>
  <si>
    <t>n</t>
  </si>
  <si>
    <t>porosity</t>
  </si>
  <si>
    <t>alpha</t>
  </si>
  <si>
    <t>k</t>
  </si>
  <si>
    <r>
      <t>S</t>
    </r>
    <r>
      <rPr>
        <vertAlign val="superscript"/>
        <sz val="12"/>
        <color theme="1"/>
        <rFont val="Garamond"/>
        <family val="1"/>
      </rPr>
      <t>0</t>
    </r>
    <r>
      <rPr>
        <sz val="12"/>
        <color theme="1"/>
        <rFont val="Garamond"/>
        <family val="1"/>
      </rPr>
      <t>UZ</t>
    </r>
    <r>
      <rPr>
        <vertAlign val="subscript"/>
        <sz val="12"/>
        <color theme="1"/>
        <rFont val="Garamond"/>
        <family val="1"/>
      </rPr>
      <t>0</t>
    </r>
  </si>
  <si>
    <r>
      <t>d</t>
    </r>
    <r>
      <rPr>
        <vertAlign val="subscript"/>
        <sz val="12"/>
        <color theme="1"/>
        <rFont val="Garamond"/>
        <family val="1"/>
      </rPr>
      <t>f</t>
    </r>
  </si>
  <si>
    <t>1/m</t>
  </si>
  <si>
    <t>1/sec</t>
  </si>
  <si>
    <t>mm</t>
  </si>
  <si>
    <t>Particle Filter Inputs</t>
  </si>
  <si>
    <t>Dishcarge Gauge</t>
  </si>
  <si>
    <t>Discharge [mm/h]</t>
  </si>
  <si>
    <t>Seepage Discharge</t>
  </si>
  <si>
    <t>GW Depth [m]</t>
  </si>
  <si>
    <t>x [m]</t>
  </si>
  <si>
    <t>y [m]</t>
  </si>
  <si>
    <t>flag_PF</t>
  </si>
  <si>
    <t>Initial Ensemble</t>
  </si>
  <si>
    <t>Min Val</t>
  </si>
  <si>
    <t>Max Val</t>
  </si>
  <si>
    <t>Ksat [m/s]</t>
  </si>
  <si>
    <t>n [-]</t>
  </si>
  <si>
    <t>porosity [-]</t>
  </si>
  <si>
    <t>alpha [1/m]</t>
  </si>
  <si>
    <t>irr_damping [-]</t>
  </si>
  <si>
    <t>k  [1/sec]</t>
  </si>
  <si>
    <t>Parameter</t>
  </si>
  <si>
    <t>CS451</t>
  </si>
  <si>
    <t>Select all locations</t>
  </si>
  <si>
    <t>Pressure Level</t>
  </si>
  <si>
    <t>dy</t>
  </si>
  <si>
    <t>dx</t>
  </si>
  <si>
    <t>LEO-C_1_0_0_CS451</t>
  </si>
  <si>
    <t>LEO-C_3_0_0_CS451</t>
  </si>
  <si>
    <t>LEO-C_3_1.5_0_CS451</t>
  </si>
  <si>
    <t>LEO-C_3_-1.5_0_CS451</t>
  </si>
  <si>
    <t>LEO-C_3_3.5_0_CS451</t>
  </si>
  <si>
    <t>LEO-C_3_-3.5_0_CS451</t>
  </si>
  <si>
    <t>LEO-C_7_0_0_CS451</t>
  </si>
  <si>
    <t>LEO-C_7_1.5_0_CS451</t>
  </si>
  <si>
    <t>LEO-C_7_-1.5_0_CS451</t>
  </si>
  <si>
    <t>LEO-C_13_0_0_CS451</t>
  </si>
  <si>
    <t>LEO-C_13_1.5_0_CS451</t>
  </si>
  <si>
    <t>GW Table Gauge</t>
  </si>
  <si>
    <t>Gauge ID</t>
  </si>
  <si>
    <t>Check</t>
  </si>
  <si>
    <t>Gauges Used in the PF</t>
  </si>
  <si>
    <t>flag_discharge</t>
  </si>
  <si>
    <t>Time [min]</t>
  </si>
  <si>
    <t>N</t>
  </si>
  <si>
    <t>Particle Filter Parameters</t>
  </si>
  <si>
    <t>Discharge Error Std.</t>
  </si>
  <si>
    <t>mm/h</t>
  </si>
  <si>
    <t>GW  Depth Error Std.</t>
  </si>
  <si>
    <t>particles</t>
  </si>
  <si>
    <t>Seed Value</t>
  </si>
  <si>
    <t xml:space="preserve">Particle Filter Seed Parameters </t>
  </si>
  <si>
    <t>Parameter Std.</t>
  </si>
  <si>
    <t>PERTH_CALIBRATION_400_particles_60min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</si>
</sst>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Garamond"/>
      <family val="1"/>
    </font>
    <font>
      <b/>
      <sz val="22"/>
      <color theme="1"/>
      <name val="Garamond"/>
      <family val="1"/>
    </font>
    <font>
      <i/>
      <sz val="12"/>
      <color theme="1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Garamond"/>
      <family val="1"/>
    </font>
    <font>
      <b/>
      <sz val="20"/>
      <color theme="1"/>
      <name val="Garamond"/>
      <family val="1"/>
    </font>
    <font>
      <b/>
      <i/>
      <sz val="12"/>
      <color theme="1"/>
      <name val="Garamond"/>
      <family val="1"/>
    </font>
    <font>
      <sz val="18"/>
      <color theme="1"/>
      <name val="Garamond"/>
      <family val="1"/>
    </font>
    <font>
      <sz val="16"/>
      <color theme="1"/>
      <name val="Garamond"/>
      <family val="1"/>
    </font>
    <font>
      <sz val="14"/>
      <color theme="1"/>
      <name val="Garamond"/>
      <family val="1"/>
    </font>
    <font>
      <sz val="9"/>
      <color theme="1"/>
      <name val="Garamond"/>
      <family val="1"/>
    </font>
    <font>
      <sz val="12"/>
      <color rgb="FFFF0000"/>
      <name val="Garamond"/>
      <family val="1"/>
    </font>
    <font>
      <sz val="12"/>
      <name val="Garamond"/>
      <family val="1"/>
    </font>
    <font>
      <vertAlign val="superscript"/>
      <sz val="12"/>
      <color theme="1"/>
      <name val="Garamond"/>
      <family val="1"/>
    </font>
    <font>
      <vertAlign val="subscript"/>
      <sz val="12"/>
      <color theme="1"/>
      <name val="Garamond"/>
      <family val="1"/>
    </font>
    <font>
      <b/>
      <sz val="16"/>
      <color theme="1"/>
      <name val="Garamond"/>
      <family val="1"/>
    </font>
    <font>
      <i/>
      <sz val="16"/>
      <color theme="1"/>
      <name val="Garamond"/>
      <family val="1"/>
    </font>
    <font>
      <sz val="16"/>
      <name val="Garamond"/>
      <family val="1"/>
    </font>
    <font>
      <i/>
      <sz val="14"/>
      <color theme="1"/>
      <name val="Garamond"/>
      <family val="1"/>
    </font>
    <font>
      <i/>
      <sz val="18"/>
      <color theme="1"/>
      <name val="Garamond"/>
      <family val="1"/>
    </font>
    <font>
      <b/>
      <sz val="36"/>
      <color theme="1"/>
      <name val="Garamond"/>
      <family val="1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/>
      <diagonal/>
    </border>
    <border>
      <left/>
      <right/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8">
    <xf numFmtId="0" fontId="0" fillId="0" borderId="0" xfId="0"/>
    <xf numFmtId="0" fontId="18" fillId="34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8" fillId="33" borderId="0" xfId="0" applyFont="1" applyFill="1"/>
    <xf numFmtId="0" fontId="18" fillId="34" borderId="0" xfId="0" applyFont="1" applyFill="1"/>
    <xf numFmtId="0" fontId="18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/>
    </xf>
    <xf numFmtId="0" fontId="18" fillId="35" borderId="10" xfId="0" applyFont="1" applyFill="1" applyBorder="1"/>
    <xf numFmtId="0" fontId="18" fillId="35" borderId="11" xfId="0" applyFont="1" applyFill="1" applyBorder="1"/>
    <xf numFmtId="0" fontId="18" fillId="35" borderId="12" xfId="0" applyFont="1" applyFill="1" applyBorder="1"/>
    <xf numFmtId="0" fontId="24" fillId="33" borderId="0" xfId="0" applyFont="1" applyFill="1"/>
    <xf numFmtId="0" fontId="19" fillId="33" borderId="0" xfId="0" applyFont="1" applyFill="1" applyAlignment="1">
      <alignment vertical="center"/>
    </xf>
    <xf numFmtId="0" fontId="28" fillId="33" borderId="0" xfId="0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0" fontId="26" fillId="33" borderId="0" xfId="0" applyFont="1" applyFill="1" applyAlignment="1">
      <alignment horizontal="left" vertical="center"/>
    </xf>
    <xf numFmtId="0" fontId="27" fillId="33" borderId="0" xfId="0" applyFont="1" applyFill="1" applyAlignment="1">
      <alignment horizontal="left" vertical="center"/>
    </xf>
    <xf numFmtId="0" fontId="29" fillId="35" borderId="13" xfId="0" applyFont="1" applyFill="1" applyBorder="1" applyAlignment="1">
      <alignment horizontal="center"/>
    </xf>
    <xf numFmtId="0" fontId="30" fillId="33" borderId="0" xfId="0" applyFont="1" applyFill="1" applyAlignment="1">
      <alignment horizontal="center" vertical="center"/>
    </xf>
    <xf numFmtId="0" fontId="31" fillId="35" borderId="0" xfId="0" applyFont="1" applyFill="1" applyAlignment="1">
      <alignment horizontal="center" vertical="center"/>
    </xf>
    <xf numFmtId="0" fontId="27" fillId="33" borderId="0" xfId="0" applyFont="1" applyFill="1" applyAlignment="1">
      <alignment horizontal="center" vertical="center"/>
    </xf>
    <xf numFmtId="0" fontId="36" fillId="33" borderId="0" xfId="0" applyFont="1" applyFill="1" applyAlignment="1">
      <alignment horizontal="center" vertical="center"/>
    </xf>
    <xf numFmtId="0" fontId="38" fillId="33" borderId="0" xfId="0" applyFont="1" applyFill="1" applyAlignment="1">
      <alignment horizontal="left" vertical="center"/>
    </xf>
    <xf numFmtId="2" fontId="36" fillId="35" borderId="0" xfId="0" applyNumberFormat="1" applyFont="1" applyFill="1" applyAlignment="1">
      <alignment horizontal="center" vertical="center"/>
    </xf>
    <xf numFmtId="2" fontId="27" fillId="35" borderId="0" xfId="0" applyNumberFormat="1" applyFont="1" applyFill="1" applyAlignment="1">
      <alignment horizontal="center" vertical="center"/>
    </xf>
    <xf numFmtId="2" fontId="18" fillId="33" borderId="0" xfId="0" applyNumberFormat="1" applyFont="1" applyFill="1" applyAlignment="1">
      <alignment horizontal="center" vertical="center"/>
    </xf>
    <xf numFmtId="0" fontId="18" fillId="35" borderId="15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37" fillId="33" borderId="15" xfId="0" applyFont="1" applyFill="1" applyBorder="1" applyAlignment="1">
      <alignment vertical="center"/>
    </xf>
    <xf numFmtId="0" fontId="37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8" fillId="35" borderId="17" xfId="0" applyFont="1" applyFill="1" applyBorder="1" applyAlignment="1">
      <alignment horizontal="center" vertical="center"/>
    </xf>
    <xf numFmtId="0" fontId="18" fillId="35" borderId="18" xfId="0" applyFont="1" applyFill="1" applyBorder="1" applyAlignment="1">
      <alignment horizontal="center" vertical="center"/>
    </xf>
    <xf numFmtId="0" fontId="18" fillId="35" borderId="19" xfId="0" applyFont="1" applyFill="1" applyBorder="1" applyAlignment="1">
      <alignment horizontal="center" vertical="center"/>
    </xf>
    <xf numFmtId="2" fontId="18" fillId="35" borderId="20" xfId="0" applyNumberFormat="1" applyFont="1" applyFill="1" applyBorder="1" applyAlignment="1">
      <alignment horizontal="center" vertical="center"/>
    </xf>
    <xf numFmtId="1" fontId="18" fillId="35" borderId="20" xfId="0" applyNumberFormat="1" applyFont="1" applyFill="1" applyBorder="1" applyAlignment="1">
      <alignment horizontal="center" vertical="center"/>
    </xf>
    <xf numFmtId="2" fontId="31" fillId="33" borderId="0" xfId="0" applyNumberFormat="1" applyFont="1" applyFill="1" applyAlignment="1">
      <alignment horizontal="center" vertical="center"/>
    </xf>
    <xf numFmtId="1" fontId="27" fillId="35" borderId="0" xfId="0" applyNumberFormat="1" applyFont="1" applyFill="1" applyAlignment="1">
      <alignment horizontal="center"/>
    </xf>
    <xf numFmtId="0" fontId="18" fillId="33" borderId="0" xfId="0" applyFont="1" applyFill="1" applyAlignment="1">
      <alignment horizontal="left" vertical="center"/>
    </xf>
    <xf numFmtId="2" fontId="18" fillId="33" borderId="0" xfId="0" applyNumberFormat="1" applyFont="1" applyFill="1" applyAlignment="1">
      <alignment horizontal="left" vertical="center"/>
    </xf>
    <xf numFmtId="2" fontId="35" fillId="33" borderId="0" xfId="0" applyNumberFormat="1" applyFont="1" applyFill="1" applyAlignment="1">
      <alignment horizontal="center" vertical="center"/>
    </xf>
    <xf numFmtId="0" fontId="37" fillId="33" borderId="14" xfId="0" applyFont="1" applyFill="1" applyBorder="1" applyAlignment="1">
      <alignment horizontal="center" vertical="center"/>
    </xf>
    <xf numFmtId="0" fontId="18" fillId="36" borderId="15" xfId="0" applyFont="1" applyFill="1" applyBorder="1" applyAlignment="1">
      <alignment horizontal="center" vertical="center"/>
    </xf>
    <xf numFmtId="0" fontId="18" fillId="36" borderId="0" xfId="0" applyFont="1" applyFill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164" fontId="18" fillId="35" borderId="20" xfId="0" applyNumberFormat="1" applyFont="1" applyFill="1" applyBorder="1" applyAlignment="1">
      <alignment horizontal="center" vertical="center"/>
    </xf>
    <xf numFmtId="0" fontId="18" fillId="36" borderId="18" xfId="0" applyFont="1" applyFill="1" applyBorder="1" applyAlignment="1">
      <alignment horizontal="center" vertical="center"/>
    </xf>
    <xf numFmtId="0" fontId="20" fillId="33" borderId="0" xfId="0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vertical="center"/>
    </xf>
    <xf numFmtId="0" fontId="34" fillId="33" borderId="0" xfId="0" applyFont="1" applyFill="1" applyAlignment="1">
      <alignment horizontal="center"/>
    </xf>
    <xf numFmtId="0" fontId="35" fillId="33" borderId="0" xfId="0" applyFont="1" applyFill="1" applyAlignment="1">
      <alignment horizontal="center"/>
    </xf>
    <xf numFmtId="2" fontId="35" fillId="33" borderId="0" xfId="0" applyNumberFormat="1" applyFont="1" applyFill="1" applyAlignment="1">
      <alignment horizontal="center" vertical="center"/>
    </xf>
    <xf numFmtId="0" fontId="39" fillId="33" borderId="0" xfId="0" applyFont="1" applyFill="1" applyAlignment="1">
      <alignment horizontal="center" vertical="center"/>
    </xf>
    <xf numFmtId="0" fontId="38" fillId="33" borderId="16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0"/>
        </patternFill>
      </fill>
      <border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/>
        <horizontal/>
      </border>
    </dxf>
    <dxf>
      <fill>
        <patternFill>
          <bgColor theme="0"/>
        </patternFill>
      </fill>
      <border>
        <left style="dashed">
          <color theme="0" tint="-0.24994659260841701"/>
        </left>
        <right style="dashed">
          <color theme="0" tint="-0.24994659260841701"/>
        </right>
        <top style="dashed">
          <color theme="0" tint="-0.24994659260841701"/>
        </top>
        <bottom style="dashed">
          <color theme="0" tint="-0.2499465926084170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392205</xdr:colOff>
      <xdr:row>61</xdr:row>
      <xdr:rowOff>138424</xdr:rowOff>
    </xdr:from>
    <xdr:to>
      <xdr:col>5</xdr:col>
      <xdr:colOff>542988</xdr:colOff>
      <xdr:row>68</xdr:row>
      <xdr:rowOff>86057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6CC9EE-E519-B84F-20F8-2AA6F9F87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3911" y="16767953"/>
          <a:ext cx="5180319" cy="18283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3C17D-F262-4EAD-993F-55D26C83E941}">
  <sheetPr codeName="Sheet1"/>
  <dimension ref="A1:R17"/>
  <sheetViews>
    <sheetView zoomScale="145" zoomScaleNormal="145" workbookViewId="0">
      <selection activeCell="B15" sqref="B15"/>
    </sheetView>
  </sheetViews>
  <sheetFormatPr defaultColWidth="8.85546875" defaultRowHeight="15.75" x14ac:dyDescent="0.25"/>
  <cols>
    <col min="1" max="1" width="5.140625" style="7" customWidth="1"/>
    <col min="2" max="2" width="18.42578125" style="6" customWidth="1"/>
    <col min="3" max="3" width="17.140625" style="6" customWidth="1"/>
    <col min="4" max="4" width="11.7109375" style="6" customWidth="1"/>
    <col min="5" max="5" width="14.28515625" style="6" customWidth="1"/>
    <col min="6" max="6" width="23" style="6" customWidth="1"/>
    <col min="7" max="7" width="7.7109375" style="6" customWidth="1"/>
    <col min="8" max="8" width="23.7109375" style="6" customWidth="1"/>
    <col min="9" max="9" width="28.85546875" style="6" customWidth="1"/>
    <col min="10" max="10" width="8.85546875" style="6"/>
    <col min="11" max="11" width="16.7109375" style="6" customWidth="1"/>
    <col min="12" max="12" width="18.28515625" style="6" customWidth="1"/>
    <col min="13" max="13" width="14.140625" style="6" customWidth="1"/>
    <col min="14" max="14" width="19.5703125" style="6" customWidth="1"/>
    <col min="15" max="15" width="22.5703125" style="6" customWidth="1"/>
    <col min="16" max="16" width="19.28515625" style="6" customWidth="1"/>
    <col min="17" max="17" width="14.5703125" style="6" customWidth="1"/>
    <col min="18" max="16384" width="8.85546875" style="6"/>
  </cols>
  <sheetData>
    <row r="1" spans="2:18" s="7" customFormat="1" x14ac:dyDescent="0.25"/>
    <row r="2" spans="2:18" ht="26.25" x14ac:dyDescent="0.4">
      <c r="B2" s="13" t="s">
        <v>45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spans="2:18" x14ac:dyDescent="0.25">
      <c r="B4" s="51" t="s">
        <v>6</v>
      </c>
      <c r="C4" s="51"/>
      <c r="D4" s="51"/>
      <c r="E4" s="51" t="s">
        <v>18</v>
      </c>
      <c r="F4" s="51"/>
      <c r="G4" s="51"/>
      <c r="H4" s="51" t="s">
        <v>32</v>
      </c>
      <c r="I4" s="51"/>
      <c r="J4" s="51"/>
      <c r="K4" s="51"/>
      <c r="L4" s="51"/>
      <c r="M4" s="51"/>
    </row>
    <row r="5" spans="2:18" x14ac:dyDescent="0.25">
      <c r="B5" s="50" t="s">
        <v>3</v>
      </c>
      <c r="C5" s="50"/>
      <c r="D5" s="50"/>
      <c r="E5" s="50" t="s">
        <v>14</v>
      </c>
      <c r="F5" s="50"/>
      <c r="G5" s="50"/>
      <c r="H5" s="50" t="s">
        <v>33</v>
      </c>
      <c r="I5" s="50"/>
      <c r="J5" s="9"/>
    </row>
    <row r="6" spans="2:18" x14ac:dyDescent="0.25">
      <c r="B6" s="6" t="s">
        <v>7</v>
      </c>
      <c r="C6" s="10">
        <v>0</v>
      </c>
      <c r="D6" s="6" t="s">
        <v>8</v>
      </c>
      <c r="E6" s="6" t="s">
        <v>15</v>
      </c>
      <c r="F6" s="10">
        <v>60</v>
      </c>
      <c r="H6" s="6" t="s">
        <v>17</v>
      </c>
      <c r="I6" s="20" t="s">
        <v>106</v>
      </c>
    </row>
    <row r="7" spans="2:18" x14ac:dyDescent="0.25">
      <c r="B7" s="6" t="s">
        <v>4</v>
      </c>
      <c r="C7" s="12">
        <f>MAX(Inflow_BC!B4:B1048576)*60</f>
        <v>2329200</v>
      </c>
      <c r="D7" s="6" t="s">
        <v>8</v>
      </c>
      <c r="E7" s="6" t="s">
        <v>16</v>
      </c>
      <c r="F7" s="12">
        <v>24</v>
      </c>
    </row>
    <row r="8" spans="2:18" x14ac:dyDescent="0.25">
      <c r="B8" s="6" t="s">
        <v>9</v>
      </c>
      <c r="C8" s="12">
        <v>3600</v>
      </c>
      <c r="D8" s="6" t="s">
        <v>8</v>
      </c>
      <c r="E8" s="6" t="s">
        <v>42</v>
      </c>
      <c r="F8" s="12">
        <v>11.5</v>
      </c>
      <c r="G8" s="6" t="s">
        <v>5</v>
      </c>
    </row>
    <row r="9" spans="2:18" x14ac:dyDescent="0.25">
      <c r="B9" s="6" t="s">
        <v>10</v>
      </c>
      <c r="C9" s="12">
        <v>3600</v>
      </c>
      <c r="D9" s="6" t="s">
        <v>8</v>
      </c>
      <c r="E9" s="6" t="s">
        <v>43</v>
      </c>
      <c r="F9" s="12">
        <v>30</v>
      </c>
      <c r="G9" s="6" t="s">
        <v>5</v>
      </c>
    </row>
    <row r="10" spans="2:18" x14ac:dyDescent="0.25">
      <c r="B10" s="6" t="s">
        <v>11</v>
      </c>
      <c r="C10" s="12">
        <v>1800</v>
      </c>
      <c r="D10" s="6" t="s">
        <v>8</v>
      </c>
      <c r="E10" s="6" t="s">
        <v>41</v>
      </c>
      <c r="F10" s="12">
        <v>1</v>
      </c>
      <c r="G10" s="6" t="s">
        <v>5</v>
      </c>
    </row>
    <row r="11" spans="2:18" x14ac:dyDescent="0.25">
      <c r="B11" s="6" t="s">
        <v>12</v>
      </c>
      <c r="C11" s="12">
        <v>1</v>
      </c>
      <c r="E11" s="50" t="s">
        <v>47</v>
      </c>
      <c r="F11" s="50"/>
      <c r="G11" s="50"/>
    </row>
    <row r="12" spans="2:18" x14ac:dyDescent="0.25">
      <c r="B12" s="6" t="s">
        <v>13</v>
      </c>
      <c r="C12" s="12">
        <v>1</v>
      </c>
      <c r="E12" s="6" t="s">
        <v>48</v>
      </c>
      <c r="F12" s="12">
        <v>1.76</v>
      </c>
    </row>
    <row r="13" spans="2:18" x14ac:dyDescent="0.25">
      <c r="B13" s="6" t="s">
        <v>64</v>
      </c>
      <c r="C13" s="11">
        <v>1</v>
      </c>
      <c r="E13" s="6" t="s">
        <v>49</v>
      </c>
      <c r="F13" s="12">
        <v>0.38500000000000001</v>
      </c>
    </row>
    <row r="14" spans="2:18" x14ac:dyDescent="0.25">
      <c r="E14" s="6" t="s">
        <v>50</v>
      </c>
      <c r="F14" s="12">
        <v>-2.33</v>
      </c>
      <c r="G14" s="6" t="s">
        <v>54</v>
      </c>
    </row>
    <row r="15" spans="2:18" x14ac:dyDescent="0.25">
      <c r="E15" s="6" t="s">
        <v>51</v>
      </c>
      <c r="F15" s="12">
        <f>5*10^(-5)</f>
        <v>5.0000000000000002E-5</v>
      </c>
      <c r="G15" s="6" t="s">
        <v>55</v>
      </c>
    </row>
    <row r="16" spans="2:18" ht="19.5" x14ac:dyDescent="0.35">
      <c r="E16" s="6" t="s">
        <v>52</v>
      </c>
      <c r="F16" s="12">
        <v>10</v>
      </c>
      <c r="G16" s="6" t="s">
        <v>56</v>
      </c>
    </row>
    <row r="17" spans="5:6" ht="18.75" x14ac:dyDescent="0.35">
      <c r="E17" s="6" t="s">
        <v>53</v>
      </c>
      <c r="F17" s="12">
        <v>0.9</v>
      </c>
    </row>
  </sheetData>
  <mergeCells count="8">
    <mergeCell ref="E11:G11"/>
    <mergeCell ref="K4:M4"/>
    <mergeCell ref="H4:J4"/>
    <mergeCell ref="H5:I5"/>
    <mergeCell ref="B4:D4"/>
    <mergeCell ref="E4:G4"/>
    <mergeCell ref="E5:G5"/>
    <mergeCell ref="B5:D5"/>
  </mergeCells>
  <conditionalFormatting sqref="Q7:Q11 K8:M12 N12:Q26 Q27:Q35 N36:Q56">
    <cfRule type="notContainsBlanks" dxfId="1" priority="1">
      <formula>LEN(TRIM(K7))&gt;0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7ADD-2DEB-4452-AE59-501AF8D9BC41}">
  <sheetPr codeName="Sheet2"/>
  <dimension ref="A1:CFP65"/>
  <sheetViews>
    <sheetView zoomScale="115" zoomScaleNormal="115" workbookViewId="0">
      <selection activeCell="C6" sqref="C6:C29"/>
    </sheetView>
  </sheetViews>
  <sheetFormatPr defaultColWidth="11.7109375" defaultRowHeight="15.75" x14ac:dyDescent="0.25"/>
  <cols>
    <col min="1" max="1" width="3" style="1" customWidth="1"/>
    <col min="2" max="2" width="17" style="2" customWidth="1"/>
    <col min="3" max="3" width="32.28515625" style="2" customWidth="1"/>
    <col min="4" max="4" width="22.42578125" style="2" customWidth="1"/>
    <col min="5" max="5" width="25.7109375" style="2" customWidth="1"/>
    <col min="6" max="7" width="13.7109375" style="2" customWidth="1"/>
    <col min="8" max="8" width="25.28515625" style="3" customWidth="1"/>
    <col min="9" max="9" width="17.7109375" style="3" customWidth="1"/>
    <col min="10" max="10" width="19.7109375" style="3" customWidth="1"/>
    <col min="11" max="16384" width="11.7109375" style="3"/>
  </cols>
  <sheetData>
    <row r="1" spans="1:2200" s="1" customFormat="1" x14ac:dyDescent="0.25"/>
    <row r="2" spans="1:2200" s="2" customFormat="1" ht="32.450000000000003" customHeight="1" x14ac:dyDescent="0.25">
      <c r="A2" s="1"/>
      <c r="B2" s="14" t="s">
        <v>27</v>
      </c>
      <c r="C2" s="14"/>
      <c r="D2" s="14">
        <v>0</v>
      </c>
      <c r="E2" s="14"/>
      <c r="F2" s="14"/>
      <c r="G2" s="14"/>
      <c r="H2" s="14"/>
      <c r="I2" s="14"/>
      <c r="J2" s="14"/>
      <c r="K2" s="14"/>
    </row>
    <row r="3" spans="1:2200" s="2" customFormat="1" ht="32.450000000000003" customHeight="1" x14ac:dyDescent="0.25">
      <c r="A3" s="1"/>
      <c r="B3" s="15" t="s">
        <v>21</v>
      </c>
      <c r="C3" s="18" t="s">
        <v>28</v>
      </c>
      <c r="D3" s="15"/>
      <c r="E3" s="15"/>
      <c r="F3" s="15"/>
      <c r="G3" s="15"/>
      <c r="I3" s="5"/>
      <c r="J3" s="14"/>
      <c r="K3" s="14"/>
    </row>
    <row r="4" spans="1:2200" s="2" customFormat="1" ht="13.9" customHeight="1" x14ac:dyDescent="0.25">
      <c r="A4" s="1"/>
      <c r="B4" s="51" t="s">
        <v>26</v>
      </c>
      <c r="C4" s="51"/>
      <c r="D4" s="51"/>
      <c r="E4" s="51"/>
      <c r="F4" s="5"/>
      <c r="G4" s="15"/>
      <c r="I4" s="5"/>
      <c r="J4" s="14"/>
      <c r="K4" s="14"/>
    </row>
    <row r="5" spans="1:2200" s="2" customFormat="1" ht="28.5" x14ac:dyDescent="0.25">
      <c r="A5" s="1"/>
      <c r="B5" s="8" t="s">
        <v>30</v>
      </c>
      <c r="C5" s="8" t="s">
        <v>44</v>
      </c>
      <c r="D5" s="8" t="s">
        <v>29</v>
      </c>
      <c r="E5" s="8" t="s">
        <v>31</v>
      </c>
      <c r="F5" s="17"/>
      <c r="G5" s="5"/>
      <c r="H5" s="17" t="s">
        <v>20</v>
      </c>
      <c r="I5" s="5"/>
      <c r="J5" s="14"/>
      <c r="K5" s="14"/>
    </row>
    <row r="6" spans="1:2200" x14ac:dyDescent="0.25">
      <c r="B6" s="8">
        <v>1</v>
      </c>
      <c r="C6" s="8">
        <v>3.7328138220000002</v>
      </c>
      <c r="D6" s="8">
        <v>25</v>
      </c>
      <c r="E6" s="8">
        <v>0</v>
      </c>
      <c r="G6" s="17" t="s">
        <v>19</v>
      </c>
      <c r="H6" s="16">
        <v>25</v>
      </c>
      <c r="I6" s="16">
        <v>25</v>
      </c>
      <c r="J6" s="16">
        <v>25</v>
      </c>
      <c r="K6" s="16">
        <v>25</v>
      </c>
      <c r="L6" s="16">
        <v>25</v>
      </c>
      <c r="M6" s="16">
        <v>25</v>
      </c>
      <c r="N6" s="16">
        <v>25</v>
      </c>
      <c r="O6" s="16">
        <v>25</v>
      </c>
      <c r="P6" s="16">
        <v>25</v>
      </c>
      <c r="Q6" s="16">
        <v>25</v>
      </c>
      <c r="R6" s="16">
        <v>25</v>
      </c>
      <c r="S6" s="16">
        <v>25</v>
      </c>
      <c r="T6" s="16">
        <v>25</v>
      </c>
      <c r="U6" s="16">
        <v>25</v>
      </c>
      <c r="V6" s="16">
        <v>25</v>
      </c>
      <c r="W6" s="16">
        <v>25</v>
      </c>
      <c r="X6" s="16">
        <v>25</v>
      </c>
      <c r="Y6" s="16">
        <v>25</v>
      </c>
      <c r="Z6" s="16">
        <v>25</v>
      </c>
      <c r="AA6" s="16">
        <v>25</v>
      </c>
      <c r="AB6" s="16">
        <v>25</v>
      </c>
      <c r="AC6" s="16">
        <v>25</v>
      </c>
      <c r="AD6" s="16">
        <v>25</v>
      </c>
      <c r="AE6" s="16">
        <v>25</v>
      </c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/>
      <c r="KN6" s="16"/>
      <c r="KO6" s="16"/>
      <c r="KP6" s="16"/>
      <c r="KQ6" s="16"/>
      <c r="KR6" s="16"/>
      <c r="KS6" s="16"/>
      <c r="KT6" s="16"/>
      <c r="KU6" s="16"/>
      <c r="KV6" s="16"/>
      <c r="KW6" s="16"/>
      <c r="KX6" s="16"/>
      <c r="KY6" s="16"/>
      <c r="KZ6" s="16"/>
      <c r="LA6" s="16"/>
      <c r="LB6" s="16"/>
      <c r="LC6" s="16"/>
      <c r="LD6" s="16"/>
      <c r="LE6" s="16"/>
      <c r="LF6" s="16"/>
      <c r="LG6" s="16"/>
      <c r="LH6" s="16"/>
      <c r="LI6" s="16"/>
      <c r="LJ6" s="16"/>
      <c r="LK6" s="16"/>
      <c r="LL6" s="16"/>
      <c r="LM6" s="16"/>
      <c r="LN6" s="16"/>
      <c r="LO6" s="16"/>
      <c r="LP6" s="16"/>
      <c r="LQ6" s="16"/>
      <c r="LR6" s="16"/>
      <c r="LS6" s="16"/>
      <c r="LT6" s="16"/>
      <c r="LU6" s="16"/>
      <c r="LV6" s="16"/>
      <c r="LW6" s="16"/>
      <c r="LX6" s="16"/>
      <c r="LY6" s="16"/>
      <c r="LZ6" s="16"/>
      <c r="MA6" s="16"/>
      <c r="MB6" s="16"/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/>
      <c r="PD6" s="16"/>
      <c r="PE6" s="16"/>
      <c r="PF6" s="16"/>
      <c r="PG6" s="16"/>
      <c r="PH6" s="16"/>
      <c r="PI6" s="16"/>
      <c r="PJ6" s="16"/>
      <c r="PK6" s="16"/>
      <c r="PL6" s="16"/>
      <c r="PM6" s="16"/>
      <c r="PN6" s="16"/>
      <c r="PO6" s="16"/>
      <c r="PP6" s="16"/>
      <c r="PQ6" s="16"/>
      <c r="PR6" s="16"/>
      <c r="PS6" s="16"/>
      <c r="PT6" s="16"/>
      <c r="PU6" s="16"/>
      <c r="PV6" s="16"/>
      <c r="PW6" s="16"/>
      <c r="PX6" s="16"/>
      <c r="PY6" s="16"/>
      <c r="PZ6" s="16"/>
      <c r="QA6" s="16"/>
      <c r="QB6" s="16"/>
      <c r="QC6" s="16"/>
      <c r="QD6" s="16"/>
      <c r="QE6" s="16"/>
      <c r="QF6" s="16"/>
      <c r="QG6" s="16"/>
      <c r="QH6" s="16"/>
      <c r="QI6" s="16"/>
      <c r="QJ6" s="16"/>
      <c r="QK6" s="16"/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6"/>
      <c r="RH6" s="16"/>
      <c r="RI6" s="16"/>
      <c r="RJ6" s="16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6"/>
      <c r="TF6" s="16"/>
      <c r="TG6" s="16"/>
      <c r="TH6" s="16"/>
      <c r="TI6" s="16"/>
      <c r="TJ6" s="16"/>
      <c r="TK6" s="16"/>
      <c r="TL6" s="16"/>
      <c r="TM6" s="16"/>
      <c r="TN6" s="16"/>
      <c r="TO6" s="16"/>
      <c r="TP6" s="16"/>
      <c r="TQ6" s="16"/>
      <c r="TR6" s="16"/>
      <c r="TS6" s="16"/>
      <c r="TT6" s="16"/>
      <c r="TU6" s="16"/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16"/>
      <c r="WJ6" s="16"/>
      <c r="WK6" s="16"/>
      <c r="WL6" s="16"/>
      <c r="WM6" s="16"/>
      <c r="WN6" s="16"/>
      <c r="WO6" s="16"/>
      <c r="WP6" s="16"/>
      <c r="WQ6" s="16"/>
      <c r="WR6" s="16"/>
      <c r="WS6" s="16"/>
      <c r="WT6" s="16"/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6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/>
      <c r="AGX6" s="16"/>
      <c r="AGY6" s="16"/>
      <c r="AGZ6" s="16"/>
      <c r="AHA6" s="16"/>
      <c r="AHB6" s="16"/>
      <c r="AHC6" s="16"/>
      <c r="AHD6" s="16"/>
      <c r="AHE6" s="16"/>
      <c r="AHF6" s="16"/>
      <c r="AHG6" s="16"/>
      <c r="AHH6" s="16"/>
      <c r="AHI6" s="16"/>
      <c r="AHJ6" s="16"/>
      <c r="AHK6" s="16"/>
      <c r="AHL6" s="16"/>
      <c r="AHM6" s="16"/>
      <c r="AHN6" s="16"/>
      <c r="AHO6" s="16"/>
      <c r="AHP6" s="16"/>
      <c r="AHQ6" s="16"/>
      <c r="AHR6" s="16"/>
      <c r="AHS6" s="16"/>
      <c r="AHT6" s="16"/>
      <c r="AHU6" s="16"/>
      <c r="AHV6" s="16"/>
      <c r="AHW6" s="16"/>
      <c r="AHX6" s="16"/>
      <c r="AHY6" s="16"/>
      <c r="AHZ6" s="16"/>
      <c r="AIA6" s="16"/>
      <c r="AIB6" s="16"/>
      <c r="AIC6" s="16"/>
      <c r="AID6" s="16"/>
      <c r="AIE6" s="16"/>
      <c r="AIF6" s="16"/>
      <c r="AIG6" s="16"/>
      <c r="AIH6" s="16"/>
      <c r="AII6" s="16"/>
      <c r="AIJ6" s="16"/>
      <c r="AIK6" s="16"/>
      <c r="AIL6" s="16"/>
      <c r="AIM6" s="16"/>
      <c r="AIN6" s="16"/>
      <c r="AIO6" s="16"/>
      <c r="AIP6" s="16"/>
      <c r="AIQ6" s="16"/>
      <c r="AIR6" s="16"/>
      <c r="AIS6" s="16"/>
      <c r="AIT6" s="16"/>
      <c r="AIU6" s="16"/>
      <c r="AIV6" s="16"/>
      <c r="AIW6" s="16"/>
      <c r="AIX6" s="16"/>
      <c r="AIY6" s="16"/>
      <c r="AIZ6" s="16"/>
      <c r="AJA6" s="16"/>
      <c r="AJB6" s="16"/>
      <c r="AJC6" s="16"/>
      <c r="AJD6" s="16"/>
      <c r="AJE6" s="16"/>
      <c r="AJF6" s="16"/>
      <c r="AJG6" s="16"/>
      <c r="AJH6" s="16"/>
      <c r="AJI6" s="16"/>
      <c r="AJJ6" s="16"/>
      <c r="AJK6" s="16"/>
      <c r="AJL6" s="16"/>
      <c r="AJM6" s="16"/>
      <c r="AJN6" s="16"/>
      <c r="AJO6" s="16"/>
      <c r="AJP6" s="16"/>
      <c r="AJQ6" s="16"/>
      <c r="AJR6" s="16"/>
      <c r="AJS6" s="16"/>
      <c r="AJT6" s="16"/>
      <c r="AJU6" s="16"/>
      <c r="AJV6" s="16"/>
      <c r="AJW6" s="16"/>
      <c r="AJX6" s="16"/>
      <c r="AJY6" s="16"/>
      <c r="AJZ6" s="16"/>
      <c r="AKA6" s="16"/>
      <c r="AKB6" s="16"/>
      <c r="AKC6" s="16"/>
      <c r="AKD6" s="16"/>
      <c r="AKE6" s="16"/>
      <c r="AKF6" s="16"/>
      <c r="AKG6" s="16"/>
      <c r="AKH6" s="16"/>
      <c r="AKI6" s="16"/>
      <c r="AKJ6" s="16"/>
      <c r="AKK6" s="16"/>
      <c r="AKL6" s="16"/>
      <c r="AKM6" s="16"/>
      <c r="AKN6" s="16"/>
      <c r="AKO6" s="16"/>
      <c r="AKP6" s="16"/>
      <c r="AKQ6" s="16"/>
      <c r="AKR6" s="16"/>
      <c r="AKS6" s="16"/>
      <c r="AKT6" s="16"/>
      <c r="AKU6" s="16"/>
      <c r="AKV6" s="16"/>
      <c r="AKW6" s="16"/>
      <c r="AKX6" s="16"/>
      <c r="AKY6" s="16"/>
      <c r="AKZ6" s="16"/>
      <c r="ALA6" s="16"/>
      <c r="ALB6" s="16"/>
      <c r="ALC6" s="16"/>
      <c r="ALD6" s="16"/>
      <c r="ALE6" s="16"/>
      <c r="ALF6" s="16"/>
      <c r="ALG6" s="16"/>
      <c r="ALH6" s="16"/>
      <c r="ALI6" s="16"/>
      <c r="ALJ6" s="16"/>
      <c r="ALK6" s="16"/>
      <c r="ALL6" s="16"/>
      <c r="ALM6" s="16"/>
      <c r="ALN6" s="16"/>
      <c r="ALO6" s="16"/>
      <c r="ALP6" s="16"/>
      <c r="ALQ6" s="16"/>
      <c r="ALR6" s="16"/>
      <c r="ALS6" s="16"/>
      <c r="ALT6" s="16"/>
      <c r="ALU6" s="16"/>
      <c r="ALV6" s="16"/>
      <c r="ALW6" s="16"/>
      <c r="ALX6" s="16"/>
      <c r="ALY6" s="16"/>
      <c r="ALZ6" s="16"/>
      <c r="AMA6" s="16"/>
      <c r="AMB6" s="16"/>
      <c r="AMC6" s="16"/>
      <c r="AMD6" s="16"/>
      <c r="AME6" s="16"/>
      <c r="AMF6" s="16"/>
      <c r="AMG6" s="16"/>
      <c r="AMH6" s="16"/>
      <c r="AMI6" s="16"/>
      <c r="AMJ6" s="16"/>
      <c r="AMK6" s="16"/>
      <c r="AML6" s="16"/>
      <c r="AMM6" s="16"/>
      <c r="AMN6" s="16"/>
      <c r="AMO6" s="16"/>
      <c r="AMP6" s="16"/>
      <c r="AMQ6" s="16"/>
      <c r="AMR6" s="16"/>
      <c r="AMS6" s="16"/>
      <c r="AMT6" s="16"/>
      <c r="AMU6" s="16"/>
      <c r="AMV6" s="16"/>
      <c r="AMW6" s="16"/>
      <c r="AMX6" s="16"/>
      <c r="AMY6" s="16"/>
      <c r="AMZ6" s="16"/>
      <c r="ANA6" s="16"/>
      <c r="ANB6" s="16"/>
      <c r="ANC6" s="16"/>
      <c r="AND6" s="16"/>
      <c r="ANE6" s="16"/>
      <c r="ANF6" s="16"/>
      <c r="ANG6" s="16"/>
      <c r="ANH6" s="16"/>
      <c r="ANI6" s="16"/>
      <c r="ANJ6" s="16"/>
      <c r="ANK6" s="16"/>
      <c r="ANL6" s="16"/>
      <c r="ANM6" s="16"/>
      <c r="ANN6" s="16"/>
      <c r="ANO6" s="16"/>
      <c r="ANP6" s="16"/>
      <c r="ANQ6" s="16"/>
      <c r="ANR6" s="16"/>
      <c r="ANS6" s="16"/>
      <c r="ANT6" s="16"/>
      <c r="ANU6" s="16"/>
      <c r="ANV6" s="16"/>
      <c r="ANW6" s="16"/>
      <c r="ANX6" s="16"/>
      <c r="ANY6" s="16"/>
      <c r="ANZ6" s="16"/>
      <c r="AOA6" s="16"/>
      <c r="AOB6" s="16"/>
      <c r="AOC6" s="16"/>
      <c r="AOD6" s="16"/>
      <c r="AOE6" s="16"/>
      <c r="AOF6" s="16"/>
      <c r="AOG6" s="16"/>
      <c r="AOH6" s="16"/>
      <c r="AOI6" s="16"/>
      <c r="AOJ6" s="16"/>
      <c r="AOK6" s="16"/>
      <c r="AOL6" s="16"/>
      <c r="AOM6" s="16"/>
      <c r="AON6" s="16"/>
      <c r="AOO6" s="16"/>
      <c r="AOP6" s="16"/>
      <c r="AOQ6" s="16"/>
      <c r="AOR6" s="16"/>
      <c r="AOS6" s="16"/>
      <c r="AOT6" s="16"/>
      <c r="AOU6" s="16"/>
      <c r="AOV6" s="16"/>
      <c r="AOW6" s="16"/>
      <c r="AOX6" s="16"/>
      <c r="AOY6" s="16"/>
      <c r="AOZ6" s="16"/>
      <c r="APA6" s="16"/>
      <c r="APB6" s="16"/>
      <c r="APC6" s="16"/>
      <c r="APD6" s="16"/>
      <c r="APE6" s="16"/>
      <c r="APF6" s="16"/>
      <c r="APG6" s="16"/>
      <c r="APH6" s="16"/>
      <c r="API6" s="16"/>
      <c r="APJ6" s="16"/>
      <c r="APK6" s="16"/>
      <c r="APL6" s="16"/>
      <c r="APM6" s="16"/>
      <c r="APN6" s="16"/>
      <c r="APO6" s="16"/>
      <c r="APP6" s="16"/>
      <c r="APQ6" s="16"/>
      <c r="APR6" s="16"/>
      <c r="APS6" s="16"/>
      <c r="APT6" s="16"/>
      <c r="APU6" s="16"/>
      <c r="APV6" s="16"/>
      <c r="APW6" s="16"/>
      <c r="APX6" s="16"/>
      <c r="APY6" s="16"/>
      <c r="APZ6" s="16"/>
      <c r="AQA6" s="16"/>
      <c r="AQB6" s="16"/>
      <c r="AQC6" s="16"/>
      <c r="AQD6" s="16"/>
      <c r="AQE6" s="16"/>
      <c r="AQF6" s="16"/>
      <c r="AQG6" s="16"/>
      <c r="AQH6" s="16"/>
      <c r="AQI6" s="16"/>
      <c r="AQJ6" s="16"/>
      <c r="AQK6" s="16"/>
      <c r="AQL6" s="16"/>
      <c r="AQM6" s="16"/>
      <c r="AQN6" s="16"/>
      <c r="AQO6" s="16"/>
      <c r="AQP6" s="16"/>
      <c r="AQQ6" s="16"/>
      <c r="AQR6" s="16"/>
      <c r="AQS6" s="16"/>
      <c r="AQT6" s="16"/>
      <c r="AQU6" s="16"/>
      <c r="AQV6" s="16"/>
      <c r="AQW6" s="16"/>
      <c r="AQX6" s="16"/>
      <c r="AQY6" s="16"/>
      <c r="AQZ6" s="16"/>
      <c r="ARA6" s="16"/>
      <c r="ARB6" s="16"/>
      <c r="ARC6" s="16"/>
      <c r="ARD6" s="16"/>
      <c r="ARE6" s="16"/>
      <c r="ARF6" s="16"/>
      <c r="ARG6" s="16"/>
      <c r="ARH6" s="16"/>
      <c r="ARI6" s="16"/>
      <c r="ARJ6" s="16"/>
      <c r="ARK6" s="16"/>
      <c r="ARL6" s="16"/>
      <c r="ARM6" s="16"/>
      <c r="ARN6" s="16"/>
      <c r="ARO6" s="16"/>
      <c r="ARP6" s="16"/>
      <c r="ARQ6" s="16"/>
      <c r="ARR6" s="16"/>
      <c r="ARS6" s="16"/>
      <c r="ART6" s="16"/>
      <c r="ARU6" s="16"/>
      <c r="ARV6" s="16"/>
      <c r="ARW6" s="16"/>
      <c r="ARX6" s="16"/>
      <c r="ARY6" s="16"/>
      <c r="ARZ6" s="16"/>
      <c r="ASA6" s="16"/>
      <c r="ASB6" s="16"/>
      <c r="ASC6" s="16"/>
      <c r="ASD6" s="16"/>
      <c r="ASE6" s="16"/>
      <c r="ASF6" s="16"/>
      <c r="ASG6" s="16"/>
      <c r="ASH6" s="16"/>
      <c r="ASI6" s="16"/>
      <c r="ASJ6" s="16"/>
      <c r="ASK6" s="16"/>
      <c r="ASL6" s="16"/>
      <c r="ASM6" s="16"/>
      <c r="ASN6" s="16"/>
      <c r="ASO6" s="16"/>
      <c r="ASP6" s="16"/>
      <c r="ASQ6" s="16"/>
      <c r="ASR6" s="16"/>
      <c r="ASS6" s="16"/>
      <c r="AST6" s="16"/>
      <c r="ASU6" s="16"/>
      <c r="ASV6" s="16"/>
      <c r="ASW6" s="16"/>
      <c r="ASX6" s="16"/>
      <c r="ASY6" s="16"/>
      <c r="ASZ6" s="16"/>
      <c r="ATA6" s="16"/>
      <c r="ATB6" s="16"/>
      <c r="ATC6" s="16"/>
      <c r="ATD6" s="16"/>
      <c r="ATE6" s="16"/>
      <c r="ATF6" s="16"/>
      <c r="ATG6" s="16"/>
      <c r="ATH6" s="16"/>
      <c r="ATI6" s="16"/>
      <c r="ATJ6" s="16"/>
      <c r="ATK6" s="16"/>
      <c r="ATL6" s="16"/>
      <c r="ATM6" s="16"/>
      <c r="ATN6" s="16"/>
      <c r="ATO6" s="16"/>
      <c r="ATP6" s="16"/>
      <c r="ATQ6" s="16"/>
      <c r="ATR6" s="16"/>
      <c r="ATS6" s="16"/>
      <c r="ATT6" s="16"/>
      <c r="ATU6" s="16"/>
      <c r="ATV6" s="16"/>
      <c r="ATW6" s="16"/>
      <c r="ATX6" s="16"/>
      <c r="ATY6" s="16"/>
      <c r="ATZ6" s="16"/>
      <c r="AUA6" s="16"/>
      <c r="AUB6" s="16"/>
      <c r="AUC6" s="16"/>
      <c r="AUD6" s="16"/>
      <c r="AUE6" s="16"/>
      <c r="AUF6" s="16"/>
      <c r="AUG6" s="16"/>
      <c r="AUH6" s="16"/>
      <c r="AUI6" s="16"/>
      <c r="AUJ6" s="16"/>
      <c r="AUK6" s="16"/>
      <c r="AUL6" s="16"/>
      <c r="AUM6" s="16"/>
      <c r="AUN6" s="16"/>
      <c r="AUO6" s="16"/>
      <c r="AUP6" s="16"/>
      <c r="AUQ6" s="16"/>
      <c r="AUR6" s="16"/>
      <c r="AUS6" s="16"/>
      <c r="AUT6" s="16"/>
      <c r="AUU6" s="16"/>
      <c r="AUV6" s="16"/>
      <c r="AUW6" s="16"/>
      <c r="AUX6" s="16"/>
      <c r="AUY6" s="16"/>
      <c r="AUZ6" s="16"/>
      <c r="AVA6" s="16"/>
      <c r="AVB6" s="16"/>
      <c r="AVC6" s="16"/>
      <c r="AVD6" s="16"/>
      <c r="AVE6" s="16"/>
      <c r="AVF6" s="16"/>
      <c r="AVG6" s="16"/>
      <c r="AVH6" s="16"/>
      <c r="AVI6" s="16"/>
      <c r="AVJ6" s="16"/>
      <c r="AVK6" s="16"/>
      <c r="AVL6" s="16"/>
      <c r="AVM6" s="16"/>
      <c r="AVN6" s="16"/>
      <c r="AVO6" s="16"/>
      <c r="AVP6" s="16"/>
      <c r="AVQ6" s="16"/>
      <c r="AVR6" s="16"/>
      <c r="AVS6" s="16"/>
      <c r="AVT6" s="16"/>
      <c r="AVU6" s="16"/>
      <c r="AVV6" s="16"/>
      <c r="AVW6" s="16"/>
      <c r="AVX6" s="16"/>
      <c r="AVY6" s="16"/>
      <c r="AVZ6" s="16"/>
      <c r="AWA6" s="16"/>
      <c r="AWB6" s="16"/>
      <c r="AWC6" s="16"/>
      <c r="AWD6" s="16"/>
      <c r="AWE6" s="16"/>
      <c r="AWF6" s="16"/>
      <c r="AWG6" s="16"/>
      <c r="AWH6" s="16"/>
      <c r="AWI6" s="16"/>
      <c r="AWJ6" s="16"/>
      <c r="AWK6" s="16"/>
      <c r="AWL6" s="16"/>
      <c r="AWM6" s="16"/>
      <c r="AWN6" s="16"/>
      <c r="AWO6" s="16"/>
      <c r="AWP6" s="16"/>
      <c r="AWQ6" s="16"/>
      <c r="AWR6" s="16"/>
      <c r="AWS6" s="16"/>
      <c r="AWT6" s="16"/>
      <c r="AWU6" s="16"/>
      <c r="AWV6" s="16"/>
      <c r="AWW6" s="16"/>
      <c r="AWX6" s="16"/>
      <c r="AWY6" s="16"/>
      <c r="AWZ6" s="16"/>
      <c r="AXA6" s="16"/>
      <c r="AXB6" s="16"/>
      <c r="AXC6" s="16"/>
      <c r="AXD6" s="16"/>
      <c r="AXE6" s="16"/>
      <c r="AXF6" s="16"/>
      <c r="AXG6" s="16"/>
      <c r="AXH6" s="16"/>
      <c r="AXI6" s="16"/>
      <c r="AXJ6" s="16"/>
      <c r="AXK6" s="16"/>
      <c r="AXL6" s="16"/>
      <c r="AXM6" s="16"/>
      <c r="AXN6" s="16"/>
      <c r="AXO6" s="16"/>
      <c r="AXP6" s="16"/>
      <c r="AXQ6" s="16"/>
      <c r="AXR6" s="16"/>
      <c r="AXS6" s="16"/>
      <c r="AXT6" s="16"/>
      <c r="AXU6" s="16"/>
      <c r="AXV6" s="16"/>
      <c r="AXW6" s="16"/>
      <c r="AXX6" s="16"/>
      <c r="AXY6" s="16"/>
      <c r="AXZ6" s="16"/>
      <c r="AYA6" s="16"/>
      <c r="AYB6" s="16"/>
      <c r="AYC6" s="16"/>
      <c r="AYD6" s="16"/>
      <c r="AYE6" s="16"/>
      <c r="AYF6" s="16"/>
      <c r="AYG6" s="16"/>
      <c r="AYH6" s="16"/>
      <c r="AYI6" s="16"/>
      <c r="AYJ6" s="16"/>
      <c r="AYK6" s="16"/>
      <c r="AYL6" s="16"/>
      <c r="AYM6" s="16"/>
      <c r="AYN6" s="16"/>
      <c r="AYO6" s="16"/>
      <c r="AYP6" s="16"/>
      <c r="AYQ6" s="16"/>
      <c r="AYR6" s="16"/>
      <c r="AYS6" s="16"/>
      <c r="AYT6" s="16"/>
      <c r="AYU6" s="16"/>
      <c r="AYV6" s="16"/>
      <c r="AYW6" s="16"/>
      <c r="AYX6" s="16"/>
      <c r="AYY6" s="16"/>
      <c r="AYZ6" s="16"/>
      <c r="AZA6" s="16"/>
      <c r="AZB6" s="16"/>
      <c r="AZC6" s="16"/>
      <c r="AZD6" s="16"/>
      <c r="AZE6" s="16"/>
      <c r="AZF6" s="16"/>
      <c r="AZG6" s="16"/>
      <c r="AZH6" s="16"/>
      <c r="AZI6" s="16"/>
      <c r="AZJ6" s="16"/>
      <c r="AZK6" s="16"/>
      <c r="AZL6" s="16"/>
      <c r="AZM6" s="16"/>
      <c r="AZN6" s="16"/>
      <c r="AZO6" s="16"/>
      <c r="AZP6" s="16"/>
      <c r="AZQ6" s="16"/>
      <c r="AZR6" s="16"/>
      <c r="AZS6" s="16"/>
      <c r="AZT6" s="16"/>
      <c r="AZU6" s="16"/>
      <c r="AZV6" s="16"/>
      <c r="AZW6" s="16"/>
      <c r="AZX6" s="16"/>
      <c r="AZY6" s="16"/>
      <c r="AZZ6" s="16"/>
      <c r="BAA6" s="16"/>
      <c r="BAB6" s="16"/>
      <c r="BAC6" s="16"/>
      <c r="BAD6" s="16"/>
      <c r="BAE6" s="16"/>
      <c r="BAF6" s="16"/>
      <c r="BAG6" s="16"/>
      <c r="BAH6" s="16"/>
      <c r="BAI6" s="16"/>
      <c r="BAJ6" s="16"/>
      <c r="BAK6" s="16"/>
      <c r="BAL6" s="16"/>
      <c r="BAM6" s="16"/>
      <c r="BAN6" s="16"/>
      <c r="BAO6" s="16"/>
      <c r="BAP6" s="16"/>
      <c r="BAQ6" s="16"/>
      <c r="BAR6" s="16"/>
      <c r="BAS6" s="16"/>
      <c r="BAT6" s="16"/>
      <c r="BAU6" s="16"/>
      <c r="BAV6" s="16"/>
      <c r="BAW6" s="16"/>
      <c r="BAX6" s="16"/>
      <c r="BAY6" s="16"/>
      <c r="BAZ6" s="16"/>
      <c r="BBA6" s="16"/>
      <c r="BBB6" s="16"/>
      <c r="BBC6" s="16"/>
      <c r="BBD6" s="16"/>
      <c r="BBE6" s="16"/>
      <c r="BBF6" s="16"/>
      <c r="BBG6" s="16"/>
      <c r="BBH6" s="16"/>
      <c r="BBI6" s="16"/>
      <c r="BBJ6" s="16"/>
      <c r="BBK6" s="16"/>
      <c r="BBL6" s="16"/>
      <c r="BBM6" s="16"/>
      <c r="BBN6" s="16"/>
      <c r="BBO6" s="16"/>
      <c r="BBP6" s="16"/>
      <c r="BBQ6" s="16"/>
      <c r="BBR6" s="16"/>
      <c r="BBS6" s="16"/>
      <c r="BBT6" s="16"/>
      <c r="BBU6" s="16"/>
      <c r="BBV6" s="16"/>
      <c r="BBW6" s="16"/>
      <c r="BBX6" s="16"/>
      <c r="BBY6" s="16"/>
      <c r="BBZ6" s="16"/>
      <c r="BCA6" s="16"/>
      <c r="BCB6" s="16"/>
      <c r="BCC6" s="16"/>
      <c r="BCD6" s="16"/>
      <c r="BCE6" s="16"/>
      <c r="BCF6" s="16"/>
      <c r="BCG6" s="16"/>
      <c r="BCH6" s="16"/>
      <c r="BCI6" s="16"/>
      <c r="BCJ6" s="16"/>
      <c r="BCK6" s="16"/>
      <c r="BCL6" s="16"/>
      <c r="BCM6" s="16"/>
      <c r="BCN6" s="16"/>
      <c r="BCO6" s="16"/>
      <c r="BCP6" s="16"/>
      <c r="BCQ6" s="16"/>
      <c r="BCR6" s="16"/>
      <c r="BCS6" s="16"/>
      <c r="BCT6" s="16"/>
      <c r="BCU6" s="16"/>
      <c r="BCV6" s="16"/>
      <c r="BCW6" s="16"/>
      <c r="BCX6" s="16"/>
      <c r="BCY6" s="16"/>
      <c r="BCZ6" s="16"/>
      <c r="BDA6" s="16"/>
      <c r="BDB6" s="16"/>
      <c r="BDC6" s="16"/>
      <c r="BDD6" s="16"/>
      <c r="BDE6" s="16"/>
      <c r="BDF6" s="16"/>
      <c r="BDG6" s="16"/>
      <c r="BDH6" s="16"/>
      <c r="BDI6" s="16"/>
      <c r="BDJ6" s="16"/>
      <c r="BDK6" s="16"/>
      <c r="BDL6" s="16"/>
      <c r="BDM6" s="16"/>
      <c r="BDN6" s="16"/>
      <c r="BDO6" s="16"/>
      <c r="BDP6" s="16"/>
      <c r="BDQ6" s="16"/>
      <c r="BDR6" s="16"/>
      <c r="BDS6" s="16"/>
      <c r="BDT6" s="16"/>
      <c r="BDU6" s="16"/>
      <c r="BDV6" s="16"/>
      <c r="BDW6" s="16"/>
      <c r="BDX6" s="16"/>
      <c r="BDY6" s="16"/>
      <c r="BDZ6" s="16"/>
      <c r="BEA6" s="16"/>
      <c r="BEB6" s="16"/>
      <c r="BEC6" s="16"/>
      <c r="BED6" s="16"/>
      <c r="BEE6" s="16"/>
      <c r="BEF6" s="16"/>
      <c r="BEG6" s="16"/>
      <c r="BEH6" s="16"/>
      <c r="BEI6" s="16"/>
      <c r="BEJ6" s="16"/>
      <c r="BEK6" s="16"/>
      <c r="BEL6" s="16"/>
      <c r="BEM6" s="16"/>
      <c r="BEN6" s="16"/>
      <c r="BEO6" s="16"/>
      <c r="BEP6" s="16"/>
      <c r="BEQ6" s="16"/>
      <c r="BER6" s="16"/>
      <c r="BES6" s="16"/>
      <c r="BET6" s="16"/>
      <c r="BEU6" s="16"/>
      <c r="BEV6" s="16"/>
      <c r="BEW6" s="16"/>
      <c r="BEX6" s="16"/>
      <c r="BEY6" s="16"/>
      <c r="BEZ6" s="16"/>
      <c r="BFA6" s="16"/>
      <c r="BFB6" s="16"/>
      <c r="BFC6" s="16"/>
      <c r="BFD6" s="16"/>
      <c r="BFE6" s="16"/>
      <c r="BFF6" s="16"/>
      <c r="BFG6" s="16"/>
      <c r="BFH6" s="16"/>
      <c r="BFI6" s="16"/>
      <c r="BFJ6" s="16"/>
      <c r="BFK6" s="16"/>
      <c r="BFL6" s="16"/>
      <c r="BFM6" s="16"/>
      <c r="BFN6" s="16"/>
      <c r="BFO6" s="16"/>
      <c r="BFP6" s="16"/>
      <c r="BFQ6" s="16"/>
      <c r="BFR6" s="16"/>
      <c r="BFS6" s="16"/>
      <c r="BFT6" s="16"/>
      <c r="BFU6" s="16"/>
      <c r="BFV6" s="16"/>
      <c r="BFW6" s="16"/>
      <c r="BFX6" s="16"/>
      <c r="BFY6" s="16"/>
      <c r="BFZ6" s="16"/>
      <c r="BGA6" s="16"/>
      <c r="BGB6" s="16"/>
      <c r="BGC6" s="16"/>
      <c r="BGD6" s="16"/>
      <c r="BGE6" s="16"/>
      <c r="BGF6" s="16"/>
      <c r="BGG6" s="16"/>
      <c r="BGH6" s="16"/>
      <c r="BGI6" s="16"/>
      <c r="BGJ6" s="16"/>
      <c r="BGK6" s="16"/>
      <c r="BGL6" s="16"/>
      <c r="BGM6" s="16"/>
      <c r="BGN6" s="16"/>
      <c r="BGO6" s="16"/>
      <c r="BGP6" s="16"/>
      <c r="BGQ6" s="16"/>
      <c r="BGR6" s="16"/>
      <c r="BGS6" s="16"/>
      <c r="BGT6" s="16"/>
      <c r="BGU6" s="16"/>
      <c r="BGV6" s="16"/>
      <c r="BGW6" s="16"/>
      <c r="BGX6" s="16"/>
      <c r="BGY6" s="16"/>
      <c r="BGZ6" s="16"/>
      <c r="BHA6" s="16"/>
      <c r="BHB6" s="16"/>
      <c r="BHC6" s="16"/>
      <c r="BHD6" s="16"/>
      <c r="BHE6" s="16"/>
      <c r="BHF6" s="16"/>
      <c r="BHG6" s="16"/>
      <c r="BHH6" s="16"/>
      <c r="BHI6" s="16"/>
      <c r="BHJ6" s="16"/>
      <c r="BHK6" s="16"/>
      <c r="BHL6" s="16"/>
      <c r="BHM6" s="16"/>
      <c r="BHN6" s="16"/>
      <c r="BHO6" s="16"/>
      <c r="BHP6" s="16"/>
      <c r="BHQ6" s="16"/>
      <c r="BHR6" s="16"/>
      <c r="BHS6" s="16"/>
      <c r="BHT6" s="16"/>
      <c r="BHU6" s="16"/>
      <c r="BHV6" s="16"/>
      <c r="BHW6" s="16"/>
      <c r="BHX6" s="16"/>
      <c r="BHY6" s="16"/>
      <c r="BHZ6" s="16"/>
      <c r="BIA6" s="16"/>
      <c r="BIB6" s="16"/>
      <c r="BIC6" s="16"/>
      <c r="BID6" s="16"/>
      <c r="BIE6" s="16"/>
      <c r="BIF6" s="16"/>
      <c r="BIG6" s="16"/>
      <c r="BIH6" s="16"/>
      <c r="BII6" s="16"/>
      <c r="BIJ6" s="16"/>
      <c r="BIK6" s="16"/>
      <c r="BIL6" s="16"/>
      <c r="BIM6" s="16"/>
      <c r="BIN6" s="16"/>
      <c r="BIO6" s="16"/>
      <c r="BIP6" s="16"/>
      <c r="BIQ6" s="16"/>
      <c r="BIR6" s="16"/>
      <c r="BIS6" s="16"/>
      <c r="BIT6" s="16"/>
      <c r="BIU6" s="16"/>
      <c r="BIV6" s="16"/>
      <c r="BIW6" s="16"/>
      <c r="BIX6" s="16"/>
      <c r="BIY6" s="16"/>
      <c r="BIZ6" s="16"/>
      <c r="BJA6" s="16"/>
      <c r="BJB6" s="16"/>
      <c r="BJC6" s="16"/>
      <c r="BJD6" s="16"/>
      <c r="BJE6" s="16"/>
      <c r="BJF6" s="16"/>
      <c r="BJG6" s="16"/>
      <c r="BJH6" s="16"/>
      <c r="BJI6" s="16"/>
      <c r="BJJ6" s="16"/>
      <c r="BJK6" s="16"/>
      <c r="BJL6" s="16"/>
      <c r="BJM6" s="16"/>
      <c r="BJN6" s="16"/>
      <c r="BJO6" s="16"/>
      <c r="BJP6" s="16"/>
      <c r="BJQ6" s="16"/>
      <c r="BJR6" s="16"/>
      <c r="BJS6" s="16"/>
      <c r="BJT6" s="16"/>
      <c r="BJU6" s="16"/>
      <c r="BJV6" s="16"/>
      <c r="BJW6" s="16"/>
      <c r="BJX6" s="16"/>
      <c r="BJY6" s="16"/>
      <c r="BJZ6" s="16"/>
      <c r="BKA6" s="16"/>
      <c r="BKB6" s="16"/>
      <c r="BKC6" s="16"/>
      <c r="BKD6" s="16"/>
      <c r="BKE6" s="16"/>
      <c r="BKF6" s="16"/>
      <c r="BKG6" s="16"/>
      <c r="BKH6" s="16"/>
      <c r="BKI6" s="16"/>
      <c r="BKJ6" s="16"/>
      <c r="BKK6" s="16"/>
      <c r="BKL6" s="16"/>
      <c r="BKM6" s="16"/>
      <c r="BKN6" s="16"/>
      <c r="BKO6" s="16"/>
      <c r="BKP6" s="16"/>
      <c r="BKQ6" s="16"/>
      <c r="BKR6" s="16"/>
      <c r="BKS6" s="16"/>
      <c r="BKT6" s="16"/>
      <c r="BKU6" s="16"/>
      <c r="BKV6" s="16"/>
      <c r="BKW6" s="16"/>
      <c r="BKX6" s="16"/>
      <c r="BKY6" s="16"/>
      <c r="BKZ6" s="16"/>
      <c r="BLA6" s="16"/>
      <c r="BLB6" s="16"/>
      <c r="BLC6" s="16"/>
      <c r="BLD6" s="16"/>
      <c r="BLE6" s="16"/>
      <c r="BLF6" s="16"/>
      <c r="BLG6" s="16"/>
      <c r="BLH6" s="16"/>
      <c r="BLI6" s="16"/>
      <c r="BLJ6" s="16"/>
      <c r="BLK6" s="16"/>
      <c r="BLL6" s="16"/>
      <c r="BLM6" s="16"/>
      <c r="BLN6" s="16"/>
      <c r="BLO6" s="16"/>
      <c r="BLP6" s="16"/>
      <c r="BLQ6" s="16"/>
      <c r="BLR6" s="16"/>
      <c r="BLS6" s="16"/>
      <c r="BLT6" s="16"/>
      <c r="BLU6" s="16"/>
      <c r="BLV6" s="16"/>
      <c r="BLW6" s="16"/>
      <c r="BLX6" s="16"/>
      <c r="BLY6" s="16"/>
      <c r="BLZ6" s="16"/>
      <c r="BMA6" s="16"/>
      <c r="BMB6" s="16"/>
      <c r="BMC6" s="16"/>
      <c r="BMD6" s="16"/>
      <c r="BME6" s="16"/>
      <c r="BMF6" s="16"/>
      <c r="BMG6" s="16"/>
      <c r="BMH6" s="16"/>
      <c r="BMI6" s="16"/>
      <c r="BMJ6" s="16"/>
      <c r="BMK6" s="16"/>
      <c r="BML6" s="16"/>
      <c r="BMM6" s="16"/>
      <c r="BMN6" s="16"/>
      <c r="BMO6" s="16"/>
      <c r="BMP6" s="16"/>
      <c r="BMQ6" s="16"/>
      <c r="BMR6" s="16"/>
      <c r="BMS6" s="16"/>
      <c r="BMT6" s="16"/>
      <c r="BMU6" s="16"/>
      <c r="BMV6" s="16"/>
      <c r="BMW6" s="16"/>
      <c r="BMX6" s="16"/>
      <c r="BMY6" s="16"/>
      <c r="BMZ6" s="16"/>
      <c r="BNA6" s="16"/>
      <c r="BNB6" s="16"/>
      <c r="BNC6" s="16"/>
      <c r="BND6" s="16"/>
      <c r="BNE6" s="16"/>
      <c r="BNF6" s="16"/>
      <c r="BNG6" s="16"/>
      <c r="BNH6" s="16"/>
      <c r="BNI6" s="16"/>
      <c r="BNJ6" s="16"/>
      <c r="BNK6" s="16"/>
      <c r="BNL6" s="16"/>
      <c r="BNM6" s="16"/>
      <c r="BNN6" s="16"/>
      <c r="BNO6" s="16"/>
      <c r="BNP6" s="16"/>
      <c r="BNQ6" s="16"/>
      <c r="BNR6" s="16"/>
      <c r="BNS6" s="16"/>
      <c r="BNT6" s="16"/>
      <c r="BNU6" s="16"/>
      <c r="BNV6" s="16"/>
      <c r="BNW6" s="16"/>
      <c r="BNX6" s="16"/>
      <c r="BNY6" s="16"/>
      <c r="BNZ6" s="16"/>
      <c r="BOA6" s="16"/>
      <c r="BOB6" s="16"/>
      <c r="BOC6" s="16"/>
      <c r="BOD6" s="16"/>
      <c r="BOE6" s="16"/>
      <c r="BOF6" s="16"/>
      <c r="BOG6" s="16"/>
      <c r="BOH6" s="16"/>
      <c r="BOI6" s="16"/>
      <c r="BOJ6" s="16"/>
      <c r="BOK6" s="16"/>
      <c r="BOL6" s="16"/>
      <c r="BOM6" s="16"/>
      <c r="BON6" s="16"/>
      <c r="BOO6" s="16"/>
      <c r="BOP6" s="16"/>
      <c r="BOQ6" s="16"/>
      <c r="BOR6" s="16"/>
      <c r="BOS6" s="16"/>
      <c r="BOT6" s="16"/>
      <c r="BOU6" s="16"/>
      <c r="BOV6" s="16"/>
      <c r="BOW6" s="16"/>
      <c r="BOX6" s="16"/>
      <c r="BOY6" s="16"/>
      <c r="BOZ6" s="16"/>
      <c r="BPA6" s="16"/>
      <c r="BPB6" s="16"/>
      <c r="BPC6" s="16"/>
      <c r="BPD6" s="16"/>
      <c r="BPE6" s="16"/>
      <c r="BPF6" s="16"/>
      <c r="BPG6" s="16"/>
      <c r="BPH6" s="16"/>
      <c r="BPI6" s="16"/>
      <c r="BPJ6" s="16"/>
      <c r="BPK6" s="16"/>
      <c r="BPL6" s="16"/>
      <c r="BPM6" s="16"/>
      <c r="BPN6" s="16"/>
      <c r="BPO6" s="16"/>
      <c r="BPP6" s="16"/>
      <c r="BPQ6" s="16"/>
      <c r="BPR6" s="16"/>
      <c r="BPS6" s="16"/>
      <c r="BPT6" s="16"/>
      <c r="BPU6" s="16"/>
      <c r="BPV6" s="16"/>
      <c r="BPW6" s="16"/>
      <c r="BPX6" s="16"/>
      <c r="BPY6" s="16"/>
      <c r="BPZ6" s="16"/>
      <c r="BQA6" s="16"/>
      <c r="BQB6" s="16"/>
      <c r="BQC6" s="16"/>
      <c r="BQD6" s="16"/>
      <c r="BQE6" s="16"/>
      <c r="BQF6" s="16"/>
      <c r="BQG6" s="16"/>
      <c r="BQH6" s="16"/>
      <c r="BQI6" s="16"/>
      <c r="BQJ6" s="16"/>
      <c r="BQK6" s="16"/>
      <c r="BQL6" s="16"/>
      <c r="BQM6" s="16"/>
      <c r="BQN6" s="16"/>
      <c r="BQO6" s="16"/>
      <c r="BQP6" s="16"/>
      <c r="BQQ6" s="16"/>
      <c r="BQR6" s="16"/>
      <c r="BQS6" s="16"/>
      <c r="BQT6" s="16"/>
      <c r="BQU6" s="16"/>
      <c r="BQV6" s="16"/>
      <c r="BQW6" s="16"/>
      <c r="BQX6" s="16"/>
      <c r="BQY6" s="16"/>
      <c r="BQZ6" s="16"/>
      <c r="BRA6" s="16"/>
      <c r="BRB6" s="16"/>
      <c r="BRC6" s="16"/>
      <c r="BRD6" s="16"/>
      <c r="BRE6" s="16"/>
      <c r="BRF6" s="16"/>
      <c r="BRG6" s="16"/>
      <c r="BRH6" s="16"/>
      <c r="BRI6" s="16"/>
      <c r="BRJ6" s="16"/>
      <c r="BRK6" s="16"/>
      <c r="BRL6" s="16"/>
      <c r="BRM6" s="16"/>
      <c r="BRN6" s="16"/>
      <c r="BRO6" s="16"/>
      <c r="BRP6" s="16"/>
      <c r="BRQ6" s="16"/>
      <c r="BRR6" s="16"/>
      <c r="BRS6" s="16"/>
      <c r="BRT6" s="16"/>
      <c r="BRU6" s="16"/>
      <c r="BRV6" s="16"/>
      <c r="BRW6" s="16"/>
      <c r="BRX6" s="16"/>
      <c r="BRY6" s="16"/>
      <c r="BRZ6" s="16"/>
      <c r="BSA6" s="16"/>
      <c r="BSB6" s="16"/>
      <c r="BSC6" s="16"/>
      <c r="BSD6" s="16"/>
      <c r="BSE6" s="16"/>
      <c r="BSF6" s="16"/>
      <c r="BSG6" s="16"/>
      <c r="BSH6" s="16"/>
      <c r="BSI6" s="16"/>
      <c r="BSJ6" s="16"/>
      <c r="BSK6" s="16"/>
      <c r="BSL6" s="16"/>
      <c r="BSM6" s="16"/>
      <c r="BSN6" s="16"/>
      <c r="BSO6" s="16"/>
      <c r="BSP6" s="16"/>
      <c r="BSQ6" s="16"/>
      <c r="BSR6" s="16"/>
      <c r="BSS6" s="16"/>
      <c r="BST6" s="16"/>
      <c r="BSU6" s="16"/>
      <c r="BSV6" s="16"/>
      <c r="BSW6" s="16"/>
      <c r="BSX6" s="16"/>
      <c r="BSY6" s="16"/>
      <c r="BSZ6" s="16"/>
      <c r="BTA6" s="16"/>
      <c r="BTB6" s="16"/>
      <c r="BTC6" s="16"/>
      <c r="BTD6" s="16"/>
      <c r="BTE6" s="16"/>
      <c r="BTF6" s="16"/>
      <c r="BTG6" s="16"/>
      <c r="BTH6" s="16"/>
      <c r="BTI6" s="16"/>
      <c r="BTJ6" s="16"/>
      <c r="BTK6" s="16"/>
      <c r="BTL6" s="16"/>
      <c r="BTM6" s="16"/>
      <c r="BTN6" s="16"/>
      <c r="BTO6" s="16"/>
      <c r="BTP6" s="16"/>
      <c r="BTQ6" s="16"/>
      <c r="BTR6" s="16"/>
      <c r="BTS6" s="16"/>
      <c r="BTT6" s="16"/>
      <c r="BTU6" s="16"/>
      <c r="BTV6" s="16"/>
      <c r="BTW6" s="16"/>
      <c r="BTX6" s="16"/>
      <c r="BTY6" s="16"/>
      <c r="BTZ6" s="16"/>
      <c r="BUA6" s="16"/>
      <c r="BUB6" s="16"/>
      <c r="BUC6" s="16"/>
      <c r="BUD6" s="16"/>
      <c r="BUE6" s="16"/>
      <c r="BUF6" s="16"/>
      <c r="BUG6" s="16"/>
      <c r="BUH6" s="16"/>
      <c r="BUI6" s="16"/>
      <c r="BUJ6" s="16"/>
      <c r="BUK6" s="16"/>
      <c r="BUL6" s="16"/>
      <c r="BUM6" s="16"/>
      <c r="BUN6" s="16"/>
      <c r="BUO6" s="16"/>
      <c r="BUP6" s="16"/>
      <c r="BUQ6" s="16"/>
      <c r="BUR6" s="16"/>
      <c r="BUS6" s="16"/>
      <c r="BUT6" s="16"/>
      <c r="BUU6" s="16"/>
      <c r="BUV6" s="16"/>
      <c r="BUW6" s="16"/>
      <c r="BUX6" s="16"/>
      <c r="BUY6" s="16"/>
      <c r="BUZ6" s="16"/>
      <c r="BVA6" s="16"/>
      <c r="BVB6" s="16"/>
      <c r="BVC6" s="16"/>
      <c r="BVD6" s="16"/>
      <c r="BVE6" s="16"/>
      <c r="BVF6" s="16"/>
      <c r="BVG6" s="16"/>
      <c r="BVH6" s="16"/>
      <c r="BVI6" s="16"/>
      <c r="BVJ6" s="16"/>
      <c r="BVK6" s="16"/>
      <c r="BVL6" s="16"/>
      <c r="BVM6" s="16"/>
      <c r="BVN6" s="16"/>
      <c r="BVO6" s="16"/>
      <c r="BVP6" s="16"/>
      <c r="BVQ6" s="16"/>
      <c r="BVR6" s="16"/>
      <c r="BVS6" s="16"/>
      <c r="BVT6" s="16"/>
      <c r="BVU6" s="16"/>
      <c r="BVV6" s="16"/>
      <c r="BVW6" s="16"/>
      <c r="BVX6" s="16"/>
      <c r="BVY6" s="16"/>
      <c r="BVZ6" s="16"/>
      <c r="BWA6" s="16"/>
      <c r="BWB6" s="16"/>
      <c r="BWC6" s="16"/>
      <c r="BWD6" s="16"/>
      <c r="BWE6" s="16"/>
      <c r="BWF6" s="16"/>
      <c r="BWG6" s="16"/>
      <c r="BWH6" s="16"/>
      <c r="BWI6" s="16"/>
      <c r="BWJ6" s="16"/>
      <c r="BWK6" s="16"/>
      <c r="BWL6" s="16"/>
      <c r="BWM6" s="16"/>
      <c r="BWN6" s="16"/>
      <c r="BWO6" s="16"/>
      <c r="BWP6" s="16"/>
      <c r="BWQ6" s="16"/>
      <c r="BWR6" s="16"/>
      <c r="BWS6" s="16"/>
      <c r="BWT6" s="16"/>
      <c r="BWU6" s="16"/>
      <c r="BWV6" s="16"/>
      <c r="BWW6" s="16"/>
      <c r="BWX6" s="16"/>
      <c r="BWY6" s="16"/>
      <c r="BWZ6" s="16"/>
      <c r="BXA6" s="16"/>
      <c r="BXB6" s="16"/>
      <c r="BXC6" s="16"/>
      <c r="BXD6" s="16"/>
      <c r="BXE6" s="16"/>
      <c r="BXF6" s="16"/>
      <c r="BXG6" s="16"/>
      <c r="BXH6" s="16"/>
      <c r="BXI6" s="16"/>
      <c r="BXJ6" s="16"/>
      <c r="BXK6" s="16"/>
      <c r="BXL6" s="16"/>
      <c r="BXM6" s="16"/>
      <c r="BXN6" s="16"/>
      <c r="BXO6" s="16"/>
      <c r="BXP6" s="16"/>
      <c r="BXQ6" s="16"/>
      <c r="BXR6" s="16"/>
      <c r="BXS6" s="16"/>
      <c r="BXT6" s="16"/>
      <c r="BXU6" s="16"/>
      <c r="BXV6" s="16"/>
      <c r="BXW6" s="16"/>
      <c r="BXX6" s="16"/>
      <c r="BXY6" s="16"/>
      <c r="BXZ6" s="16"/>
      <c r="BYA6" s="16"/>
      <c r="BYB6" s="16"/>
      <c r="BYC6" s="16"/>
      <c r="BYD6" s="16"/>
      <c r="BYE6" s="16"/>
      <c r="BYF6" s="16"/>
      <c r="BYG6" s="16"/>
      <c r="BYH6" s="16"/>
      <c r="BYI6" s="16"/>
      <c r="BYJ6" s="16"/>
      <c r="BYK6" s="16"/>
      <c r="BYL6" s="16"/>
      <c r="BYM6" s="16"/>
      <c r="BYN6" s="16"/>
      <c r="BYO6" s="16"/>
      <c r="BYP6" s="16"/>
      <c r="BYQ6" s="16"/>
      <c r="BYR6" s="16"/>
      <c r="BYS6" s="16"/>
      <c r="BYT6" s="16"/>
      <c r="BYU6" s="16"/>
      <c r="BYV6" s="16"/>
      <c r="BYW6" s="16"/>
      <c r="BYX6" s="16"/>
      <c r="BYY6" s="16"/>
      <c r="BYZ6" s="16"/>
      <c r="BZA6" s="16"/>
      <c r="BZB6" s="16"/>
      <c r="BZC6" s="16"/>
      <c r="BZD6" s="16"/>
      <c r="BZE6" s="16"/>
      <c r="BZF6" s="16"/>
      <c r="BZG6" s="16"/>
      <c r="BZH6" s="16"/>
      <c r="BZI6" s="16"/>
      <c r="BZJ6" s="16"/>
      <c r="BZK6" s="16"/>
      <c r="BZL6" s="16"/>
      <c r="BZM6" s="16"/>
      <c r="BZN6" s="16"/>
      <c r="BZO6" s="16"/>
      <c r="BZP6" s="16"/>
      <c r="BZQ6" s="16"/>
      <c r="BZR6" s="16"/>
      <c r="BZS6" s="16"/>
      <c r="BZT6" s="16"/>
      <c r="BZU6" s="16"/>
      <c r="BZV6" s="16"/>
      <c r="BZW6" s="16"/>
      <c r="BZX6" s="16"/>
      <c r="BZY6" s="16"/>
      <c r="BZZ6" s="16"/>
      <c r="CAA6" s="16"/>
      <c r="CAB6" s="16"/>
      <c r="CAC6" s="16"/>
      <c r="CAD6" s="16"/>
      <c r="CAE6" s="16"/>
      <c r="CAF6" s="16"/>
      <c r="CAG6" s="16"/>
      <c r="CAH6" s="16"/>
      <c r="CAI6" s="16"/>
      <c r="CAJ6" s="16"/>
      <c r="CAK6" s="16"/>
      <c r="CAL6" s="16"/>
      <c r="CAM6" s="16"/>
      <c r="CAN6" s="16"/>
      <c r="CAO6" s="16"/>
      <c r="CAP6" s="16"/>
      <c r="CAQ6" s="16"/>
      <c r="CAR6" s="16"/>
      <c r="CAS6" s="16"/>
      <c r="CAT6" s="16"/>
      <c r="CAU6" s="16"/>
      <c r="CAV6" s="16"/>
      <c r="CAW6" s="16"/>
      <c r="CAX6" s="16"/>
      <c r="CAY6" s="16"/>
      <c r="CAZ6" s="16"/>
      <c r="CBA6" s="16"/>
      <c r="CBB6" s="16"/>
      <c r="CBC6" s="16"/>
      <c r="CBD6" s="16"/>
      <c r="CBE6" s="16"/>
      <c r="CBF6" s="16"/>
      <c r="CBG6" s="16"/>
      <c r="CBH6" s="16"/>
      <c r="CBI6" s="16"/>
      <c r="CBJ6" s="16"/>
      <c r="CBK6" s="16"/>
      <c r="CBL6" s="16"/>
      <c r="CBM6" s="16"/>
      <c r="CBN6" s="16"/>
      <c r="CBO6" s="16"/>
      <c r="CBP6" s="16"/>
      <c r="CBQ6" s="16"/>
      <c r="CBR6" s="16"/>
      <c r="CBS6" s="16"/>
      <c r="CBT6" s="16"/>
      <c r="CBU6" s="16"/>
      <c r="CBV6" s="16"/>
      <c r="CBW6" s="16"/>
      <c r="CBX6" s="16"/>
      <c r="CBY6" s="16"/>
      <c r="CBZ6" s="16"/>
      <c r="CCA6" s="16"/>
      <c r="CCB6" s="16"/>
      <c r="CCC6" s="16"/>
      <c r="CCD6" s="16"/>
      <c r="CCE6" s="16"/>
      <c r="CCF6" s="16"/>
      <c r="CCG6" s="16"/>
      <c r="CCH6" s="16"/>
      <c r="CCI6" s="16"/>
      <c r="CCJ6" s="16"/>
      <c r="CCK6" s="16"/>
      <c r="CCL6" s="16"/>
      <c r="CCM6" s="16"/>
      <c r="CCN6" s="16"/>
      <c r="CCO6" s="16"/>
      <c r="CCP6" s="16"/>
      <c r="CCQ6" s="16"/>
      <c r="CCR6" s="16"/>
      <c r="CCS6" s="16"/>
      <c r="CCT6" s="16"/>
      <c r="CCU6" s="16"/>
      <c r="CCV6" s="16"/>
      <c r="CCW6" s="16"/>
      <c r="CCX6" s="16"/>
      <c r="CCY6" s="16"/>
      <c r="CCZ6" s="16"/>
      <c r="CDA6" s="16"/>
      <c r="CDB6" s="16"/>
      <c r="CDC6" s="16"/>
      <c r="CDD6" s="16"/>
      <c r="CDE6" s="16"/>
      <c r="CDF6" s="16"/>
      <c r="CDG6" s="16"/>
      <c r="CDH6" s="16"/>
      <c r="CDI6" s="16"/>
      <c r="CDJ6" s="16"/>
      <c r="CDK6" s="16"/>
      <c r="CDL6" s="16"/>
      <c r="CDM6" s="16"/>
      <c r="CDN6" s="16"/>
      <c r="CDO6" s="16"/>
      <c r="CDP6" s="16"/>
      <c r="CDQ6" s="16"/>
      <c r="CDR6" s="16"/>
      <c r="CDS6" s="16"/>
      <c r="CDT6" s="16"/>
      <c r="CDU6" s="16"/>
      <c r="CDV6" s="16"/>
      <c r="CDW6" s="16"/>
      <c r="CDX6" s="16"/>
      <c r="CDY6" s="16"/>
      <c r="CDZ6" s="16"/>
      <c r="CEA6" s="16"/>
      <c r="CEB6" s="16"/>
      <c r="CEC6" s="16"/>
      <c r="CED6" s="16"/>
      <c r="CEE6" s="16"/>
      <c r="CEF6" s="16"/>
      <c r="CEG6" s="16"/>
      <c r="CEH6" s="16"/>
      <c r="CEI6" s="16"/>
      <c r="CEJ6" s="16"/>
      <c r="CEK6" s="16"/>
      <c r="CEL6" s="16"/>
      <c r="CEM6" s="16"/>
      <c r="CEN6" s="16"/>
      <c r="CEO6" s="16"/>
      <c r="CEP6" s="16"/>
      <c r="CEQ6" s="16"/>
      <c r="CER6" s="16"/>
      <c r="CES6" s="16"/>
      <c r="CET6" s="16"/>
      <c r="CEU6" s="16"/>
      <c r="CEV6" s="16"/>
      <c r="CEW6" s="16"/>
      <c r="CEX6" s="16"/>
      <c r="CEY6" s="16"/>
      <c r="CEZ6" s="16"/>
      <c r="CFA6" s="16"/>
      <c r="CFB6" s="16"/>
      <c r="CFC6" s="16"/>
      <c r="CFD6" s="16"/>
      <c r="CFE6" s="16"/>
      <c r="CFF6" s="16"/>
      <c r="CFG6" s="16"/>
      <c r="CFH6" s="16"/>
      <c r="CFI6" s="16"/>
      <c r="CFJ6" s="16"/>
      <c r="CFK6" s="16"/>
      <c r="CFL6" s="16"/>
      <c r="CFM6" s="16"/>
      <c r="CFN6" s="16"/>
      <c r="CFO6" s="16"/>
      <c r="CFP6" s="16"/>
    </row>
    <row r="7" spans="1:2200" x14ac:dyDescent="0.25">
      <c r="B7" s="8">
        <v>2</v>
      </c>
      <c r="C7" s="8">
        <v>3.6926078659999999</v>
      </c>
      <c r="D7" s="8"/>
      <c r="E7" s="8"/>
      <c r="H7" s="16">
        <v>25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25</v>
      </c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</row>
    <row r="8" spans="1:2200" x14ac:dyDescent="0.25">
      <c r="B8" s="8">
        <v>3</v>
      </c>
      <c r="C8" s="8">
        <v>3.6526808599999998</v>
      </c>
      <c r="D8" s="8"/>
      <c r="E8" s="8"/>
      <c r="H8" s="16">
        <v>25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25</v>
      </c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</row>
    <row r="9" spans="1:2200" x14ac:dyDescent="0.25">
      <c r="B9" s="8">
        <v>4</v>
      </c>
      <c r="C9" s="8">
        <v>3.6127981999999998</v>
      </c>
      <c r="D9" s="8"/>
      <c r="E9" s="8"/>
      <c r="H9" s="16">
        <v>25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25</v>
      </c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</row>
    <row r="10" spans="1:2200" x14ac:dyDescent="0.25">
      <c r="B10" s="8">
        <v>5</v>
      </c>
      <c r="C10" s="8">
        <v>3.5754051070000004</v>
      </c>
      <c r="D10" s="8"/>
      <c r="E10" s="8"/>
      <c r="H10" s="16">
        <v>25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25</v>
      </c>
    </row>
    <row r="11" spans="1:2200" x14ac:dyDescent="0.25">
      <c r="B11" s="8">
        <v>6</v>
      </c>
      <c r="C11" s="8">
        <v>3.535263525</v>
      </c>
      <c r="D11" s="8"/>
      <c r="E11" s="8"/>
      <c r="H11" s="16">
        <v>25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25</v>
      </c>
    </row>
    <row r="12" spans="1:2200" x14ac:dyDescent="0.25">
      <c r="B12" s="8">
        <v>7</v>
      </c>
      <c r="C12" s="8">
        <v>3.4676585059999998</v>
      </c>
      <c r="D12" s="8"/>
      <c r="E12" s="8"/>
      <c r="H12" s="16">
        <v>25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25</v>
      </c>
    </row>
    <row r="13" spans="1:2200" x14ac:dyDescent="0.25">
      <c r="B13" s="8">
        <v>8</v>
      </c>
      <c r="C13" s="8">
        <v>3.3674530849999997</v>
      </c>
      <c r="D13" s="8"/>
      <c r="E13" s="8"/>
      <c r="H13" s="16">
        <v>25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25</v>
      </c>
    </row>
    <row r="14" spans="1:2200" x14ac:dyDescent="0.25">
      <c r="B14" s="8">
        <v>9</v>
      </c>
      <c r="C14" s="8">
        <v>3.2571410999999997</v>
      </c>
      <c r="D14" s="8"/>
      <c r="E14" s="8"/>
      <c r="H14" s="16">
        <v>25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25</v>
      </c>
    </row>
    <row r="15" spans="1:2200" x14ac:dyDescent="0.25">
      <c r="B15" s="8">
        <v>10</v>
      </c>
      <c r="C15" s="8">
        <v>3.150202261</v>
      </c>
      <c r="D15" s="8"/>
      <c r="E15" s="8"/>
      <c r="H15" s="16">
        <v>25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25</v>
      </c>
    </row>
    <row r="16" spans="1:2200" x14ac:dyDescent="0.25">
      <c r="B16" s="8">
        <v>11</v>
      </c>
      <c r="C16" s="8">
        <v>3.0642623769999999</v>
      </c>
      <c r="D16" s="8"/>
      <c r="E16" s="8"/>
      <c r="H16" s="16">
        <v>25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25</v>
      </c>
    </row>
    <row r="17" spans="2:31" x14ac:dyDescent="0.25">
      <c r="B17" s="8">
        <v>12</v>
      </c>
      <c r="C17" s="8">
        <v>3.0149402479999998</v>
      </c>
      <c r="D17" s="8"/>
      <c r="E17" s="8"/>
      <c r="H17" s="16">
        <v>25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25</v>
      </c>
    </row>
    <row r="18" spans="2:31" x14ac:dyDescent="0.25">
      <c r="B18" s="8">
        <v>13</v>
      </c>
      <c r="C18" s="8">
        <v>3.0282244549999997</v>
      </c>
      <c r="D18" s="8"/>
      <c r="E18" s="8"/>
      <c r="H18" s="16">
        <v>25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25</v>
      </c>
    </row>
    <row r="19" spans="2:31" x14ac:dyDescent="0.25">
      <c r="B19" s="8">
        <v>14</v>
      </c>
      <c r="C19" s="8">
        <v>3.106578813</v>
      </c>
      <c r="D19" s="8"/>
      <c r="E19" s="8"/>
      <c r="H19" s="16">
        <v>25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25</v>
      </c>
    </row>
    <row r="20" spans="2:31" x14ac:dyDescent="0.25">
      <c r="B20" s="8">
        <v>15</v>
      </c>
      <c r="C20" s="8">
        <v>3.2085971700000004</v>
      </c>
      <c r="D20" s="8"/>
      <c r="E20" s="8"/>
      <c r="H20" s="16">
        <v>25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25</v>
      </c>
    </row>
    <row r="21" spans="2:31" x14ac:dyDescent="0.25">
      <c r="B21" s="8">
        <v>16</v>
      </c>
      <c r="C21" s="8">
        <v>3.3150853970000003</v>
      </c>
      <c r="D21" s="8"/>
      <c r="E21" s="8"/>
      <c r="H21" s="16">
        <v>25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25</v>
      </c>
    </row>
    <row r="22" spans="2:31" x14ac:dyDescent="0.25">
      <c r="B22" s="8">
        <v>17</v>
      </c>
      <c r="C22" s="8">
        <v>3.4133744099999999</v>
      </c>
      <c r="D22" s="8"/>
      <c r="E22" s="8"/>
      <c r="H22" s="16">
        <v>25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25</v>
      </c>
    </row>
    <row r="23" spans="2:31" x14ac:dyDescent="0.25">
      <c r="B23" s="8">
        <v>18</v>
      </c>
      <c r="C23" s="8">
        <v>3.4948315480000001</v>
      </c>
      <c r="D23" s="8"/>
      <c r="E23" s="8"/>
      <c r="H23" s="16">
        <v>25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25</v>
      </c>
    </row>
    <row r="24" spans="2:31" x14ac:dyDescent="0.25">
      <c r="B24" s="8">
        <v>19</v>
      </c>
      <c r="C24" s="8">
        <v>3.5556526050000001</v>
      </c>
      <c r="D24" s="8"/>
      <c r="E24" s="8"/>
      <c r="H24" s="16">
        <v>25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25</v>
      </c>
    </row>
    <row r="25" spans="2:31" x14ac:dyDescent="0.25">
      <c r="B25" s="8">
        <v>20</v>
      </c>
      <c r="C25" s="8">
        <v>3.5968150959999998</v>
      </c>
      <c r="D25" s="8"/>
      <c r="E25" s="8"/>
      <c r="H25" s="16">
        <v>25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25</v>
      </c>
    </row>
    <row r="26" spans="2:31" x14ac:dyDescent="0.25">
      <c r="B26" s="8">
        <v>21</v>
      </c>
      <c r="C26" s="8">
        <v>3.6344566210000004</v>
      </c>
      <c r="D26" s="8"/>
      <c r="E26" s="8"/>
      <c r="H26" s="16">
        <v>25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25</v>
      </c>
    </row>
    <row r="27" spans="2:31" x14ac:dyDescent="0.25">
      <c r="B27" s="8">
        <v>22</v>
      </c>
      <c r="C27" s="8">
        <v>3.6741018159999999</v>
      </c>
      <c r="D27" s="8"/>
      <c r="E27" s="8"/>
      <c r="H27" s="16">
        <v>25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25</v>
      </c>
    </row>
    <row r="28" spans="2:31" x14ac:dyDescent="0.25">
      <c r="B28" s="8">
        <v>23</v>
      </c>
      <c r="C28" s="8">
        <v>3.7137818199999999</v>
      </c>
      <c r="D28" s="8"/>
      <c r="E28" s="8"/>
      <c r="H28" s="16">
        <v>25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25</v>
      </c>
    </row>
    <row r="29" spans="2:31" x14ac:dyDescent="0.25">
      <c r="B29" s="8">
        <v>24</v>
      </c>
      <c r="C29" s="8">
        <v>3.7512712340000003</v>
      </c>
      <c r="D29" s="8"/>
      <c r="E29" s="8"/>
      <c r="H29" s="16">
        <v>25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25</v>
      </c>
    </row>
    <row r="30" spans="2:31" x14ac:dyDescent="0.25">
      <c r="B30" s="8"/>
      <c r="C30" s="8"/>
      <c r="D30" s="8"/>
      <c r="E30" s="8"/>
      <c r="H30" s="16">
        <v>25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25</v>
      </c>
    </row>
    <row r="31" spans="2:31" x14ac:dyDescent="0.25">
      <c r="B31" s="8"/>
      <c r="C31" s="8"/>
      <c r="D31" s="8"/>
      <c r="E31" s="8"/>
      <c r="H31" s="16">
        <v>25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25</v>
      </c>
    </row>
    <row r="32" spans="2:31" x14ac:dyDescent="0.25">
      <c r="B32" s="8"/>
      <c r="C32" s="8"/>
      <c r="D32" s="8"/>
      <c r="E32" s="8"/>
      <c r="H32" s="16">
        <v>25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25</v>
      </c>
    </row>
    <row r="33" spans="8:31" x14ac:dyDescent="0.25">
      <c r="H33" s="16">
        <v>25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25</v>
      </c>
    </row>
    <row r="34" spans="8:31" x14ac:dyDescent="0.25">
      <c r="H34" s="16">
        <v>25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25</v>
      </c>
    </row>
    <row r="35" spans="8:31" x14ac:dyDescent="0.25">
      <c r="H35" s="16">
        <v>25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25</v>
      </c>
    </row>
    <row r="36" spans="8:31" x14ac:dyDescent="0.25">
      <c r="H36" s="16">
        <v>25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25</v>
      </c>
    </row>
    <row r="37" spans="8:31" x14ac:dyDescent="0.25">
      <c r="H37" s="16">
        <v>25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25</v>
      </c>
    </row>
    <row r="38" spans="8:31" x14ac:dyDescent="0.25">
      <c r="H38" s="16">
        <v>25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25</v>
      </c>
    </row>
    <row r="39" spans="8:31" x14ac:dyDescent="0.25">
      <c r="H39" s="16">
        <v>25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25</v>
      </c>
    </row>
    <row r="40" spans="8:31" x14ac:dyDescent="0.25">
      <c r="H40" s="16">
        <v>25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25</v>
      </c>
    </row>
    <row r="41" spans="8:31" x14ac:dyDescent="0.25">
      <c r="H41" s="16">
        <v>25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25</v>
      </c>
    </row>
    <row r="42" spans="8:31" x14ac:dyDescent="0.25">
      <c r="H42" s="16">
        <v>25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25</v>
      </c>
    </row>
    <row r="43" spans="8:31" x14ac:dyDescent="0.25">
      <c r="H43" s="16">
        <v>25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25</v>
      </c>
    </row>
    <row r="44" spans="8:31" x14ac:dyDescent="0.25">
      <c r="H44" s="16">
        <v>25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25</v>
      </c>
    </row>
    <row r="45" spans="8:31" x14ac:dyDescent="0.25">
      <c r="H45" s="16">
        <v>25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25</v>
      </c>
    </row>
    <row r="46" spans="8:31" x14ac:dyDescent="0.25">
      <c r="H46" s="16">
        <v>25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25</v>
      </c>
    </row>
    <row r="47" spans="8:31" x14ac:dyDescent="0.25">
      <c r="H47" s="16">
        <v>25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25</v>
      </c>
    </row>
    <row r="48" spans="8:31" x14ac:dyDescent="0.25">
      <c r="H48" s="16">
        <v>25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25</v>
      </c>
    </row>
    <row r="49" spans="8:31" x14ac:dyDescent="0.25">
      <c r="H49" s="16">
        <v>25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25</v>
      </c>
    </row>
    <row r="50" spans="8:31" x14ac:dyDescent="0.25">
      <c r="H50" s="16">
        <v>25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25</v>
      </c>
    </row>
    <row r="51" spans="8:31" x14ac:dyDescent="0.25">
      <c r="H51" s="16">
        <v>25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25</v>
      </c>
    </row>
    <row r="52" spans="8:31" x14ac:dyDescent="0.25">
      <c r="H52" s="16">
        <v>25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25</v>
      </c>
    </row>
    <row r="53" spans="8:31" x14ac:dyDescent="0.25">
      <c r="H53" s="16">
        <v>25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25</v>
      </c>
    </row>
    <row r="54" spans="8:31" x14ac:dyDescent="0.25">
      <c r="H54" s="16">
        <v>25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25</v>
      </c>
    </row>
    <row r="55" spans="8:31" x14ac:dyDescent="0.25">
      <c r="H55" s="16">
        <v>25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25</v>
      </c>
    </row>
    <row r="56" spans="8:31" x14ac:dyDescent="0.25">
      <c r="H56" s="16">
        <v>25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25</v>
      </c>
    </row>
    <row r="57" spans="8:31" x14ac:dyDescent="0.25">
      <c r="H57" s="16">
        <v>25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25</v>
      </c>
    </row>
    <row r="58" spans="8:31" x14ac:dyDescent="0.25">
      <c r="H58" s="16">
        <v>25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25</v>
      </c>
    </row>
    <row r="59" spans="8:31" x14ac:dyDescent="0.25">
      <c r="H59" s="16">
        <v>25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25</v>
      </c>
    </row>
    <row r="60" spans="8:31" x14ac:dyDescent="0.25">
      <c r="H60" s="16">
        <v>25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25</v>
      </c>
    </row>
    <row r="61" spans="8:31" x14ac:dyDescent="0.25">
      <c r="H61" s="16">
        <v>25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25</v>
      </c>
    </row>
    <row r="62" spans="8:31" x14ac:dyDescent="0.25">
      <c r="H62" s="16">
        <v>25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25</v>
      </c>
    </row>
    <row r="63" spans="8:31" x14ac:dyDescent="0.25">
      <c r="H63" s="16">
        <v>25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25</v>
      </c>
    </row>
    <row r="64" spans="8:31" x14ac:dyDescent="0.25">
      <c r="H64" s="16">
        <v>25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25</v>
      </c>
    </row>
    <row r="65" spans="8:31" x14ac:dyDescent="0.25">
      <c r="H65" s="16">
        <v>1</v>
      </c>
      <c r="I65" s="16">
        <v>2</v>
      </c>
      <c r="J65" s="16">
        <v>3</v>
      </c>
      <c r="K65" s="16">
        <v>4</v>
      </c>
      <c r="L65" s="16">
        <v>5</v>
      </c>
      <c r="M65" s="16">
        <v>6</v>
      </c>
      <c r="N65" s="16">
        <v>7</v>
      </c>
      <c r="O65" s="16">
        <v>8</v>
      </c>
      <c r="P65" s="16">
        <v>9</v>
      </c>
      <c r="Q65" s="16">
        <v>10</v>
      </c>
      <c r="R65" s="16">
        <v>11</v>
      </c>
      <c r="S65" s="16">
        <v>12</v>
      </c>
      <c r="T65" s="16">
        <v>13</v>
      </c>
      <c r="U65" s="16">
        <v>14</v>
      </c>
      <c r="V65" s="16">
        <v>15</v>
      </c>
      <c r="W65" s="16">
        <v>16</v>
      </c>
      <c r="X65" s="16">
        <v>17</v>
      </c>
      <c r="Y65" s="16">
        <v>18</v>
      </c>
      <c r="Z65" s="16">
        <v>19</v>
      </c>
      <c r="AA65" s="16">
        <v>20</v>
      </c>
      <c r="AB65" s="16">
        <v>21</v>
      </c>
      <c r="AC65" s="16">
        <v>22</v>
      </c>
      <c r="AD65" s="16">
        <v>23</v>
      </c>
      <c r="AE65" s="16">
        <v>24</v>
      </c>
    </row>
  </sheetData>
  <mergeCells count="1">
    <mergeCell ref="B4:E4"/>
  </mergeCells>
  <conditionalFormatting sqref="B6:E32">
    <cfRule type="notContainsBlanks" dxfId="0" priority="1">
      <formula>LEN(TRIM(B6))&gt;0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487C-D881-4784-A326-42182895D123}">
  <sheetPr codeName="Sheet3"/>
  <dimension ref="A1:CFK64"/>
  <sheetViews>
    <sheetView topLeftCell="A3" workbookViewId="0">
      <selection activeCell="B7" sqref="B7"/>
    </sheetView>
  </sheetViews>
  <sheetFormatPr defaultColWidth="11.7109375" defaultRowHeight="15.75" x14ac:dyDescent="0.25"/>
  <cols>
    <col min="1" max="1" width="3" style="1" customWidth="1"/>
    <col min="2" max="2" width="13.7109375" style="2" customWidth="1"/>
    <col min="3" max="3" width="25.28515625" style="3" customWidth="1"/>
    <col min="4" max="4" width="17.7109375" style="3" customWidth="1"/>
    <col min="5" max="5" width="19.7109375" style="3" customWidth="1"/>
    <col min="6" max="16384" width="11.7109375" style="3"/>
  </cols>
  <sheetData>
    <row r="1" spans="1:2195" s="1" customFormat="1" x14ac:dyDescent="0.25"/>
    <row r="2" spans="1:2195" s="2" customFormat="1" ht="32.450000000000003" customHeight="1" x14ac:dyDescent="0.25">
      <c r="A2" s="1"/>
      <c r="B2" s="52" t="s">
        <v>38</v>
      </c>
      <c r="C2" s="52"/>
      <c r="D2" s="52"/>
      <c r="E2" s="14"/>
      <c r="F2" s="14"/>
    </row>
    <row r="3" spans="1:2195" s="2" customFormat="1" ht="32.450000000000003" customHeight="1" x14ac:dyDescent="0.25">
      <c r="A3" s="1"/>
      <c r="B3" s="15" t="s">
        <v>21</v>
      </c>
      <c r="C3" s="18" t="s">
        <v>39</v>
      </c>
      <c r="D3" s="5"/>
      <c r="E3" s="14"/>
      <c r="F3" s="14"/>
    </row>
    <row r="4" spans="1:2195" s="2" customFormat="1" ht="13.9" customHeight="1" x14ac:dyDescent="0.25">
      <c r="A4" s="1"/>
      <c r="B4" s="5"/>
      <c r="C4" s="17" t="s">
        <v>20</v>
      </c>
      <c r="D4" s="5"/>
      <c r="E4" s="14"/>
      <c r="F4" s="14"/>
    </row>
    <row r="5" spans="1:2195" x14ac:dyDescent="0.25">
      <c r="B5" s="17" t="s">
        <v>19</v>
      </c>
      <c r="C5" s="16">
        <f>$B$6</f>
        <v>0.3</v>
      </c>
      <c r="D5" s="16">
        <f t="shared" ref="D5:Z16" si="0">$B$6</f>
        <v>0.3</v>
      </c>
      <c r="E5" s="16">
        <f t="shared" si="0"/>
        <v>0.3</v>
      </c>
      <c r="F5" s="16">
        <f t="shared" si="0"/>
        <v>0.3</v>
      </c>
      <c r="G5" s="16">
        <f t="shared" si="0"/>
        <v>0.3</v>
      </c>
      <c r="H5" s="16">
        <f t="shared" si="0"/>
        <v>0.3</v>
      </c>
      <c r="I5" s="16">
        <f t="shared" si="0"/>
        <v>0.3</v>
      </c>
      <c r="J5" s="16">
        <f t="shared" si="0"/>
        <v>0.3</v>
      </c>
      <c r="K5" s="16">
        <f t="shared" si="0"/>
        <v>0.3</v>
      </c>
      <c r="L5" s="16">
        <f t="shared" si="0"/>
        <v>0.3</v>
      </c>
      <c r="M5" s="16">
        <f t="shared" si="0"/>
        <v>0.3</v>
      </c>
      <c r="N5" s="16">
        <f t="shared" si="0"/>
        <v>0.3</v>
      </c>
      <c r="O5" s="16">
        <f t="shared" si="0"/>
        <v>0.3</v>
      </c>
      <c r="P5" s="16">
        <f t="shared" si="0"/>
        <v>0.3</v>
      </c>
      <c r="Q5" s="16">
        <f t="shared" si="0"/>
        <v>0.3</v>
      </c>
      <c r="R5" s="16">
        <f t="shared" si="0"/>
        <v>0.3</v>
      </c>
      <c r="S5" s="16">
        <f t="shared" si="0"/>
        <v>0.3</v>
      </c>
      <c r="T5" s="16">
        <f t="shared" si="0"/>
        <v>0.3</v>
      </c>
      <c r="U5" s="16">
        <f t="shared" si="0"/>
        <v>0.3</v>
      </c>
      <c r="V5" s="16">
        <f t="shared" si="0"/>
        <v>0.3</v>
      </c>
      <c r="W5" s="16">
        <f t="shared" si="0"/>
        <v>0.3</v>
      </c>
      <c r="X5" s="16">
        <f t="shared" si="0"/>
        <v>0.3</v>
      </c>
      <c r="Y5" s="16">
        <f t="shared" si="0"/>
        <v>0.3</v>
      </c>
      <c r="Z5" s="16">
        <f t="shared" si="0"/>
        <v>0.3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</row>
    <row r="6" spans="1:2195" x14ac:dyDescent="0.25">
      <c r="B6" s="2">
        <v>0.3</v>
      </c>
      <c r="C6" s="16">
        <f t="shared" ref="C6:R32" si="1">$B$6</f>
        <v>0.3</v>
      </c>
      <c r="D6" s="16">
        <f t="shared" si="0"/>
        <v>0.3</v>
      </c>
      <c r="E6" s="16">
        <f t="shared" si="0"/>
        <v>0.3</v>
      </c>
      <c r="F6" s="16">
        <f t="shared" si="0"/>
        <v>0.3</v>
      </c>
      <c r="G6" s="16">
        <f t="shared" si="0"/>
        <v>0.3</v>
      </c>
      <c r="H6" s="16">
        <f t="shared" si="0"/>
        <v>0.3</v>
      </c>
      <c r="I6" s="16">
        <f t="shared" si="0"/>
        <v>0.3</v>
      </c>
      <c r="J6" s="16">
        <f t="shared" si="0"/>
        <v>0.3</v>
      </c>
      <c r="K6" s="16">
        <f t="shared" si="0"/>
        <v>0.3</v>
      </c>
      <c r="L6" s="16">
        <f t="shared" si="0"/>
        <v>0.3</v>
      </c>
      <c r="M6" s="16">
        <f t="shared" si="0"/>
        <v>0.3</v>
      </c>
      <c r="N6" s="16">
        <f t="shared" si="0"/>
        <v>0.3</v>
      </c>
      <c r="O6" s="16">
        <f t="shared" si="0"/>
        <v>0.3</v>
      </c>
      <c r="P6" s="16">
        <f t="shared" si="0"/>
        <v>0.3</v>
      </c>
      <c r="Q6" s="16">
        <f t="shared" si="0"/>
        <v>0.3</v>
      </c>
      <c r="R6" s="16">
        <f t="shared" si="0"/>
        <v>0.3</v>
      </c>
      <c r="S6" s="16">
        <f t="shared" si="0"/>
        <v>0.3</v>
      </c>
      <c r="T6" s="16">
        <f t="shared" si="0"/>
        <v>0.3</v>
      </c>
      <c r="U6" s="16">
        <f t="shared" si="0"/>
        <v>0.3</v>
      </c>
      <c r="V6" s="16">
        <f t="shared" si="0"/>
        <v>0.3</v>
      </c>
      <c r="W6" s="16">
        <f t="shared" si="0"/>
        <v>0.3</v>
      </c>
      <c r="X6" s="16">
        <f t="shared" si="0"/>
        <v>0.3</v>
      </c>
      <c r="Y6" s="16">
        <f t="shared" si="0"/>
        <v>0.3</v>
      </c>
      <c r="Z6" s="16">
        <f t="shared" si="0"/>
        <v>0.3</v>
      </c>
    </row>
    <row r="7" spans="1:2195" x14ac:dyDescent="0.25">
      <c r="C7" s="16">
        <f t="shared" si="1"/>
        <v>0.3</v>
      </c>
      <c r="D7" s="16">
        <f t="shared" si="0"/>
        <v>0.3</v>
      </c>
      <c r="E7" s="16">
        <f t="shared" si="0"/>
        <v>0.3</v>
      </c>
      <c r="F7" s="16">
        <f t="shared" si="0"/>
        <v>0.3</v>
      </c>
      <c r="G7" s="16">
        <f t="shared" si="0"/>
        <v>0.3</v>
      </c>
      <c r="H7" s="16">
        <f t="shared" si="0"/>
        <v>0.3</v>
      </c>
      <c r="I7" s="16">
        <f t="shared" si="0"/>
        <v>0.3</v>
      </c>
      <c r="J7" s="16">
        <f t="shared" si="0"/>
        <v>0.3</v>
      </c>
      <c r="K7" s="16">
        <f t="shared" si="0"/>
        <v>0.3</v>
      </c>
      <c r="L7" s="16">
        <f t="shared" si="0"/>
        <v>0.3</v>
      </c>
      <c r="M7" s="16">
        <f t="shared" si="0"/>
        <v>0.3</v>
      </c>
      <c r="N7" s="16">
        <f t="shared" si="0"/>
        <v>0.3</v>
      </c>
      <c r="O7" s="16">
        <f t="shared" si="0"/>
        <v>0.3</v>
      </c>
      <c r="P7" s="16">
        <f t="shared" si="0"/>
        <v>0.3</v>
      </c>
      <c r="Q7" s="16">
        <f t="shared" si="0"/>
        <v>0.3</v>
      </c>
      <c r="R7" s="16">
        <f t="shared" si="0"/>
        <v>0.3</v>
      </c>
      <c r="S7" s="16">
        <f t="shared" si="0"/>
        <v>0.3</v>
      </c>
      <c r="T7" s="16">
        <f t="shared" si="0"/>
        <v>0.3</v>
      </c>
      <c r="U7" s="16">
        <f t="shared" si="0"/>
        <v>0.3</v>
      </c>
      <c r="V7" s="16">
        <f t="shared" si="0"/>
        <v>0.3</v>
      </c>
      <c r="W7" s="16">
        <f t="shared" si="0"/>
        <v>0.3</v>
      </c>
      <c r="X7" s="16">
        <f t="shared" si="0"/>
        <v>0.3</v>
      </c>
      <c r="Y7" s="16">
        <f t="shared" si="0"/>
        <v>0.3</v>
      </c>
      <c r="Z7" s="16">
        <f t="shared" si="0"/>
        <v>0.3</v>
      </c>
    </row>
    <row r="8" spans="1:2195" x14ac:dyDescent="0.25">
      <c r="C8" s="16">
        <f t="shared" si="1"/>
        <v>0.3</v>
      </c>
      <c r="D8" s="16">
        <f t="shared" si="0"/>
        <v>0.3</v>
      </c>
      <c r="E8" s="16">
        <f t="shared" si="0"/>
        <v>0.3</v>
      </c>
      <c r="F8" s="16">
        <f t="shared" si="0"/>
        <v>0.3</v>
      </c>
      <c r="G8" s="16">
        <f t="shared" si="0"/>
        <v>0.3</v>
      </c>
      <c r="H8" s="16">
        <f t="shared" si="0"/>
        <v>0.3</v>
      </c>
      <c r="I8" s="16">
        <f t="shared" si="0"/>
        <v>0.3</v>
      </c>
      <c r="J8" s="16">
        <f t="shared" si="0"/>
        <v>0.3</v>
      </c>
      <c r="K8" s="16">
        <f t="shared" si="0"/>
        <v>0.3</v>
      </c>
      <c r="L8" s="16">
        <f t="shared" si="0"/>
        <v>0.3</v>
      </c>
      <c r="M8" s="16">
        <f t="shared" si="0"/>
        <v>0.3</v>
      </c>
      <c r="N8" s="16">
        <f t="shared" si="0"/>
        <v>0.3</v>
      </c>
      <c r="O8" s="16">
        <f t="shared" si="0"/>
        <v>0.3</v>
      </c>
      <c r="P8" s="16">
        <f t="shared" si="0"/>
        <v>0.3</v>
      </c>
      <c r="Q8" s="16">
        <f t="shared" si="0"/>
        <v>0.3</v>
      </c>
      <c r="R8" s="16">
        <f t="shared" si="0"/>
        <v>0.3</v>
      </c>
      <c r="S8" s="16">
        <f t="shared" si="0"/>
        <v>0.3</v>
      </c>
      <c r="T8" s="16">
        <f t="shared" si="0"/>
        <v>0.3</v>
      </c>
      <c r="U8" s="16">
        <f t="shared" si="0"/>
        <v>0.3</v>
      </c>
      <c r="V8" s="16">
        <f t="shared" si="0"/>
        <v>0.3</v>
      </c>
      <c r="W8" s="16">
        <f t="shared" si="0"/>
        <v>0.3</v>
      </c>
      <c r="X8" s="16">
        <f t="shared" si="0"/>
        <v>0.3</v>
      </c>
      <c r="Y8" s="16">
        <f t="shared" si="0"/>
        <v>0.3</v>
      </c>
      <c r="Z8" s="16">
        <f t="shared" si="0"/>
        <v>0.3</v>
      </c>
    </row>
    <row r="9" spans="1:2195" x14ac:dyDescent="0.25">
      <c r="C9" s="16">
        <f t="shared" si="1"/>
        <v>0.3</v>
      </c>
      <c r="D9" s="16">
        <f t="shared" si="0"/>
        <v>0.3</v>
      </c>
      <c r="E9" s="16">
        <f t="shared" si="0"/>
        <v>0.3</v>
      </c>
      <c r="F9" s="16">
        <f t="shared" si="0"/>
        <v>0.3</v>
      </c>
      <c r="G9" s="16">
        <f t="shared" si="0"/>
        <v>0.3</v>
      </c>
      <c r="H9" s="16">
        <f t="shared" si="0"/>
        <v>0.3</v>
      </c>
      <c r="I9" s="16">
        <f t="shared" si="0"/>
        <v>0.3</v>
      </c>
      <c r="J9" s="16">
        <f t="shared" si="0"/>
        <v>0.3</v>
      </c>
      <c r="K9" s="16">
        <f t="shared" si="0"/>
        <v>0.3</v>
      </c>
      <c r="L9" s="16">
        <f t="shared" si="0"/>
        <v>0.3</v>
      </c>
      <c r="M9" s="16">
        <f t="shared" si="0"/>
        <v>0.3</v>
      </c>
      <c r="N9" s="16">
        <f t="shared" si="0"/>
        <v>0.3</v>
      </c>
      <c r="O9" s="16">
        <f t="shared" si="0"/>
        <v>0.3</v>
      </c>
      <c r="P9" s="16">
        <f t="shared" si="0"/>
        <v>0.3</v>
      </c>
      <c r="Q9" s="16">
        <f t="shared" si="0"/>
        <v>0.3</v>
      </c>
      <c r="R9" s="16">
        <f t="shared" si="0"/>
        <v>0.3</v>
      </c>
      <c r="S9" s="16">
        <f t="shared" si="0"/>
        <v>0.3</v>
      </c>
      <c r="T9" s="16">
        <f t="shared" si="0"/>
        <v>0.3</v>
      </c>
      <c r="U9" s="16">
        <f t="shared" si="0"/>
        <v>0.3</v>
      </c>
      <c r="V9" s="16">
        <f t="shared" si="0"/>
        <v>0.3</v>
      </c>
      <c r="W9" s="16">
        <f t="shared" si="0"/>
        <v>0.3</v>
      </c>
      <c r="X9" s="16">
        <f t="shared" si="0"/>
        <v>0.3</v>
      </c>
      <c r="Y9" s="16">
        <f t="shared" si="0"/>
        <v>0.3</v>
      </c>
      <c r="Z9" s="16">
        <f t="shared" si="0"/>
        <v>0.3</v>
      </c>
    </row>
    <row r="10" spans="1:2195" x14ac:dyDescent="0.25">
      <c r="C10" s="16">
        <f t="shared" si="1"/>
        <v>0.3</v>
      </c>
      <c r="D10" s="16">
        <f t="shared" si="0"/>
        <v>0.3</v>
      </c>
      <c r="E10" s="16">
        <f t="shared" si="0"/>
        <v>0.3</v>
      </c>
      <c r="F10" s="16">
        <f t="shared" si="0"/>
        <v>0.3</v>
      </c>
      <c r="G10" s="16">
        <f t="shared" si="0"/>
        <v>0.3</v>
      </c>
      <c r="H10" s="16">
        <f t="shared" si="0"/>
        <v>0.3</v>
      </c>
      <c r="I10" s="16">
        <f t="shared" si="0"/>
        <v>0.3</v>
      </c>
      <c r="J10" s="16">
        <f t="shared" si="0"/>
        <v>0.3</v>
      </c>
      <c r="K10" s="16">
        <f t="shared" si="0"/>
        <v>0.3</v>
      </c>
      <c r="L10" s="16">
        <f t="shared" si="0"/>
        <v>0.3</v>
      </c>
      <c r="M10" s="16">
        <f t="shared" si="0"/>
        <v>0.3</v>
      </c>
      <c r="N10" s="16">
        <f t="shared" si="0"/>
        <v>0.3</v>
      </c>
      <c r="O10" s="16">
        <f t="shared" si="0"/>
        <v>0.3</v>
      </c>
      <c r="P10" s="16">
        <f t="shared" si="0"/>
        <v>0.3</v>
      </c>
      <c r="Q10" s="16">
        <f t="shared" si="0"/>
        <v>0.3</v>
      </c>
      <c r="R10" s="16">
        <f t="shared" si="0"/>
        <v>0.3</v>
      </c>
      <c r="S10" s="16">
        <f t="shared" si="0"/>
        <v>0.3</v>
      </c>
      <c r="T10" s="16">
        <f t="shared" si="0"/>
        <v>0.3</v>
      </c>
      <c r="U10" s="16">
        <f t="shared" si="0"/>
        <v>0.3</v>
      </c>
      <c r="V10" s="16">
        <f t="shared" si="0"/>
        <v>0.3</v>
      </c>
      <c r="W10" s="16">
        <f t="shared" si="0"/>
        <v>0.3</v>
      </c>
      <c r="X10" s="16">
        <f t="shared" si="0"/>
        <v>0.3</v>
      </c>
      <c r="Y10" s="16">
        <f t="shared" si="0"/>
        <v>0.3</v>
      </c>
      <c r="Z10" s="16">
        <f t="shared" si="0"/>
        <v>0.3</v>
      </c>
    </row>
    <row r="11" spans="1:2195" x14ac:dyDescent="0.25">
      <c r="C11" s="16">
        <f t="shared" si="1"/>
        <v>0.3</v>
      </c>
      <c r="D11" s="16">
        <f t="shared" si="0"/>
        <v>0.3</v>
      </c>
      <c r="E11" s="16">
        <f t="shared" si="0"/>
        <v>0.3</v>
      </c>
      <c r="F11" s="16">
        <f t="shared" si="0"/>
        <v>0.3</v>
      </c>
      <c r="G11" s="16">
        <f t="shared" si="0"/>
        <v>0.3</v>
      </c>
      <c r="H11" s="16">
        <f t="shared" si="0"/>
        <v>0.3</v>
      </c>
      <c r="I11" s="16">
        <f t="shared" si="0"/>
        <v>0.3</v>
      </c>
      <c r="J11" s="16">
        <f t="shared" si="0"/>
        <v>0.3</v>
      </c>
      <c r="K11" s="16">
        <f t="shared" si="0"/>
        <v>0.3</v>
      </c>
      <c r="L11" s="16">
        <f t="shared" si="0"/>
        <v>0.3</v>
      </c>
      <c r="M11" s="16">
        <f t="shared" si="0"/>
        <v>0.3</v>
      </c>
      <c r="N11" s="16">
        <f t="shared" si="0"/>
        <v>0.3</v>
      </c>
      <c r="O11" s="16">
        <f t="shared" si="0"/>
        <v>0.3</v>
      </c>
      <c r="P11" s="16">
        <f t="shared" si="0"/>
        <v>0.3</v>
      </c>
      <c r="Q11" s="16">
        <f t="shared" si="0"/>
        <v>0.3</v>
      </c>
      <c r="R11" s="16">
        <f t="shared" si="0"/>
        <v>0.3</v>
      </c>
      <c r="S11" s="16">
        <f t="shared" si="0"/>
        <v>0.3</v>
      </c>
      <c r="T11" s="16">
        <f t="shared" si="0"/>
        <v>0.3</v>
      </c>
      <c r="U11" s="16">
        <f t="shared" si="0"/>
        <v>0.3</v>
      </c>
      <c r="V11" s="16">
        <f t="shared" si="0"/>
        <v>0.3</v>
      </c>
      <c r="W11" s="16">
        <f t="shared" si="0"/>
        <v>0.3</v>
      </c>
      <c r="X11" s="16">
        <f t="shared" si="0"/>
        <v>0.3</v>
      </c>
      <c r="Y11" s="16">
        <f t="shared" si="0"/>
        <v>0.3</v>
      </c>
      <c r="Z11" s="16">
        <f t="shared" si="0"/>
        <v>0.3</v>
      </c>
    </row>
    <row r="12" spans="1:2195" x14ac:dyDescent="0.25">
      <c r="C12" s="16">
        <f t="shared" si="1"/>
        <v>0.3</v>
      </c>
      <c r="D12" s="16">
        <f t="shared" si="0"/>
        <v>0.3</v>
      </c>
      <c r="E12" s="16">
        <f t="shared" si="0"/>
        <v>0.3</v>
      </c>
      <c r="F12" s="16">
        <f t="shared" si="0"/>
        <v>0.3</v>
      </c>
      <c r="G12" s="16">
        <f t="shared" si="0"/>
        <v>0.3</v>
      </c>
      <c r="H12" s="16">
        <f t="shared" si="0"/>
        <v>0.3</v>
      </c>
      <c r="I12" s="16">
        <f t="shared" si="0"/>
        <v>0.3</v>
      </c>
      <c r="J12" s="16">
        <f t="shared" si="0"/>
        <v>0.3</v>
      </c>
      <c r="K12" s="16">
        <f t="shared" si="0"/>
        <v>0.3</v>
      </c>
      <c r="L12" s="16">
        <f t="shared" si="0"/>
        <v>0.3</v>
      </c>
      <c r="M12" s="16">
        <f t="shared" si="0"/>
        <v>0.3</v>
      </c>
      <c r="N12" s="16">
        <f t="shared" si="0"/>
        <v>0.3</v>
      </c>
      <c r="O12" s="16">
        <f t="shared" si="0"/>
        <v>0.3</v>
      </c>
      <c r="P12" s="16">
        <f t="shared" si="0"/>
        <v>0.3</v>
      </c>
      <c r="Q12" s="16">
        <f t="shared" si="0"/>
        <v>0.3</v>
      </c>
      <c r="R12" s="16">
        <f t="shared" si="0"/>
        <v>0.3</v>
      </c>
      <c r="S12" s="16">
        <f t="shared" si="0"/>
        <v>0.3</v>
      </c>
      <c r="T12" s="16">
        <f t="shared" si="0"/>
        <v>0.3</v>
      </c>
      <c r="U12" s="16">
        <f t="shared" si="0"/>
        <v>0.3</v>
      </c>
      <c r="V12" s="16">
        <f t="shared" si="0"/>
        <v>0.3</v>
      </c>
      <c r="W12" s="16">
        <f t="shared" si="0"/>
        <v>0.3</v>
      </c>
      <c r="X12" s="16">
        <f t="shared" si="0"/>
        <v>0.3</v>
      </c>
      <c r="Y12" s="16">
        <f t="shared" si="0"/>
        <v>0.3</v>
      </c>
      <c r="Z12" s="16">
        <f t="shared" si="0"/>
        <v>0.3</v>
      </c>
    </row>
    <row r="13" spans="1:2195" x14ac:dyDescent="0.25">
      <c r="C13" s="16">
        <f t="shared" si="1"/>
        <v>0.3</v>
      </c>
      <c r="D13" s="16">
        <f t="shared" si="0"/>
        <v>0.3</v>
      </c>
      <c r="E13" s="16">
        <f t="shared" si="0"/>
        <v>0.3</v>
      </c>
      <c r="F13" s="16">
        <f t="shared" si="0"/>
        <v>0.3</v>
      </c>
      <c r="G13" s="16">
        <f t="shared" si="0"/>
        <v>0.3</v>
      </c>
      <c r="H13" s="16">
        <f t="shared" si="0"/>
        <v>0.3</v>
      </c>
      <c r="I13" s="16">
        <f t="shared" si="0"/>
        <v>0.3</v>
      </c>
      <c r="J13" s="16">
        <f t="shared" si="0"/>
        <v>0.3</v>
      </c>
      <c r="K13" s="16">
        <f t="shared" si="0"/>
        <v>0.3</v>
      </c>
      <c r="L13" s="16">
        <f t="shared" si="0"/>
        <v>0.3</v>
      </c>
      <c r="M13" s="16">
        <f t="shared" si="0"/>
        <v>0.3</v>
      </c>
      <c r="N13" s="16">
        <f t="shared" si="0"/>
        <v>0.3</v>
      </c>
      <c r="O13" s="16">
        <f t="shared" si="0"/>
        <v>0.3</v>
      </c>
      <c r="P13" s="16">
        <f t="shared" si="0"/>
        <v>0.3</v>
      </c>
      <c r="Q13" s="16">
        <f t="shared" si="0"/>
        <v>0.3</v>
      </c>
      <c r="R13" s="16">
        <f t="shared" si="0"/>
        <v>0.3</v>
      </c>
      <c r="S13" s="16">
        <f t="shared" si="0"/>
        <v>0.3</v>
      </c>
      <c r="T13" s="16">
        <f t="shared" si="0"/>
        <v>0.3</v>
      </c>
      <c r="U13" s="16">
        <f t="shared" si="0"/>
        <v>0.3</v>
      </c>
      <c r="V13" s="16">
        <f t="shared" si="0"/>
        <v>0.3</v>
      </c>
      <c r="W13" s="16">
        <f t="shared" si="0"/>
        <v>0.3</v>
      </c>
      <c r="X13" s="16">
        <f t="shared" si="0"/>
        <v>0.3</v>
      </c>
      <c r="Y13" s="16">
        <f t="shared" si="0"/>
        <v>0.3</v>
      </c>
      <c r="Z13" s="16">
        <f t="shared" si="0"/>
        <v>0.3</v>
      </c>
    </row>
    <row r="14" spans="1:2195" x14ac:dyDescent="0.25">
      <c r="C14" s="16">
        <f t="shared" si="1"/>
        <v>0.3</v>
      </c>
      <c r="D14" s="16">
        <f t="shared" si="0"/>
        <v>0.3</v>
      </c>
      <c r="E14" s="16">
        <f t="shared" si="0"/>
        <v>0.3</v>
      </c>
      <c r="F14" s="16">
        <f t="shared" si="0"/>
        <v>0.3</v>
      </c>
      <c r="G14" s="16">
        <f t="shared" si="0"/>
        <v>0.3</v>
      </c>
      <c r="H14" s="16">
        <f t="shared" si="0"/>
        <v>0.3</v>
      </c>
      <c r="I14" s="16">
        <f t="shared" si="0"/>
        <v>0.3</v>
      </c>
      <c r="J14" s="16">
        <f t="shared" si="0"/>
        <v>0.3</v>
      </c>
      <c r="K14" s="16">
        <f t="shared" si="0"/>
        <v>0.3</v>
      </c>
      <c r="L14" s="16">
        <f t="shared" si="0"/>
        <v>0.3</v>
      </c>
      <c r="M14" s="16">
        <f t="shared" si="0"/>
        <v>0.3</v>
      </c>
      <c r="N14" s="16">
        <f t="shared" si="0"/>
        <v>0.3</v>
      </c>
      <c r="O14" s="16">
        <f t="shared" si="0"/>
        <v>0.3</v>
      </c>
      <c r="P14" s="16">
        <f t="shared" si="0"/>
        <v>0.3</v>
      </c>
      <c r="Q14" s="16">
        <f t="shared" si="0"/>
        <v>0.3</v>
      </c>
      <c r="R14" s="16">
        <f t="shared" si="0"/>
        <v>0.3</v>
      </c>
      <c r="S14" s="16">
        <f t="shared" si="0"/>
        <v>0.3</v>
      </c>
      <c r="T14" s="16">
        <f t="shared" si="0"/>
        <v>0.3</v>
      </c>
      <c r="U14" s="16">
        <f t="shared" si="0"/>
        <v>0.3</v>
      </c>
      <c r="V14" s="16">
        <f t="shared" si="0"/>
        <v>0.3</v>
      </c>
      <c r="W14" s="16">
        <f t="shared" si="0"/>
        <v>0.3</v>
      </c>
      <c r="X14" s="16">
        <f t="shared" si="0"/>
        <v>0.3</v>
      </c>
      <c r="Y14" s="16">
        <f t="shared" si="0"/>
        <v>0.3</v>
      </c>
      <c r="Z14" s="16">
        <f t="shared" si="0"/>
        <v>0.3</v>
      </c>
    </row>
    <row r="15" spans="1:2195" x14ac:dyDescent="0.25">
      <c r="C15" s="16">
        <f t="shared" si="1"/>
        <v>0.3</v>
      </c>
      <c r="D15" s="16">
        <f t="shared" si="0"/>
        <v>0.3</v>
      </c>
      <c r="E15" s="16">
        <f t="shared" si="0"/>
        <v>0.3</v>
      </c>
      <c r="F15" s="16">
        <f t="shared" si="0"/>
        <v>0.3</v>
      </c>
      <c r="G15" s="16">
        <f t="shared" si="0"/>
        <v>0.3</v>
      </c>
      <c r="H15" s="16">
        <f t="shared" si="0"/>
        <v>0.3</v>
      </c>
      <c r="I15" s="16">
        <f t="shared" si="0"/>
        <v>0.3</v>
      </c>
      <c r="J15" s="16">
        <f t="shared" si="0"/>
        <v>0.3</v>
      </c>
      <c r="K15" s="16">
        <f t="shared" si="0"/>
        <v>0.3</v>
      </c>
      <c r="L15" s="16">
        <f t="shared" si="0"/>
        <v>0.3</v>
      </c>
      <c r="M15" s="16">
        <f t="shared" si="0"/>
        <v>0.3</v>
      </c>
      <c r="N15" s="16">
        <f t="shared" si="0"/>
        <v>0.3</v>
      </c>
      <c r="O15" s="16">
        <f t="shared" si="0"/>
        <v>0.3</v>
      </c>
      <c r="P15" s="16">
        <f t="shared" si="0"/>
        <v>0.3</v>
      </c>
      <c r="Q15" s="16">
        <f t="shared" si="0"/>
        <v>0.3</v>
      </c>
      <c r="R15" s="16">
        <f t="shared" si="0"/>
        <v>0.3</v>
      </c>
      <c r="S15" s="16">
        <f t="shared" si="0"/>
        <v>0.3</v>
      </c>
      <c r="T15" s="16">
        <f t="shared" si="0"/>
        <v>0.3</v>
      </c>
      <c r="U15" s="16">
        <f t="shared" si="0"/>
        <v>0.3</v>
      </c>
      <c r="V15" s="16">
        <f t="shared" si="0"/>
        <v>0.3</v>
      </c>
      <c r="W15" s="16">
        <f t="shared" si="0"/>
        <v>0.3</v>
      </c>
      <c r="X15" s="16">
        <f t="shared" si="0"/>
        <v>0.3</v>
      </c>
      <c r="Y15" s="16">
        <f t="shared" si="0"/>
        <v>0.3</v>
      </c>
      <c r="Z15" s="16">
        <f t="shared" si="0"/>
        <v>0.3</v>
      </c>
    </row>
    <row r="16" spans="1:2195" x14ac:dyDescent="0.25">
      <c r="C16" s="16">
        <f t="shared" si="1"/>
        <v>0.3</v>
      </c>
      <c r="D16" s="16">
        <f t="shared" si="0"/>
        <v>0.3</v>
      </c>
      <c r="E16" s="16">
        <f t="shared" si="0"/>
        <v>0.3</v>
      </c>
      <c r="F16" s="16">
        <f t="shared" ref="F16:U31" si="2">$B$6</f>
        <v>0.3</v>
      </c>
      <c r="G16" s="16">
        <f t="shared" si="2"/>
        <v>0.3</v>
      </c>
      <c r="H16" s="16">
        <f t="shared" si="2"/>
        <v>0.3</v>
      </c>
      <c r="I16" s="16">
        <f t="shared" si="2"/>
        <v>0.3</v>
      </c>
      <c r="J16" s="16">
        <f t="shared" si="2"/>
        <v>0.3</v>
      </c>
      <c r="K16" s="16">
        <f t="shared" si="2"/>
        <v>0.3</v>
      </c>
      <c r="L16" s="16">
        <f t="shared" si="2"/>
        <v>0.3</v>
      </c>
      <c r="M16" s="16">
        <f t="shared" si="2"/>
        <v>0.3</v>
      </c>
      <c r="N16" s="16">
        <f t="shared" si="2"/>
        <v>0.3</v>
      </c>
      <c r="O16" s="16">
        <f t="shared" si="2"/>
        <v>0.3</v>
      </c>
      <c r="P16" s="16">
        <f t="shared" si="2"/>
        <v>0.3</v>
      </c>
      <c r="Q16" s="16">
        <f t="shared" si="2"/>
        <v>0.3</v>
      </c>
      <c r="R16" s="16">
        <f t="shared" si="2"/>
        <v>0.3</v>
      </c>
      <c r="S16" s="16">
        <f t="shared" si="2"/>
        <v>0.3</v>
      </c>
      <c r="T16" s="16">
        <f t="shared" si="2"/>
        <v>0.3</v>
      </c>
      <c r="U16" s="16">
        <f t="shared" si="2"/>
        <v>0.3</v>
      </c>
      <c r="V16" s="16">
        <f t="shared" ref="V16:Z47" si="3">$B$6</f>
        <v>0.3</v>
      </c>
      <c r="W16" s="16">
        <f t="shared" si="3"/>
        <v>0.3</v>
      </c>
      <c r="X16" s="16">
        <f t="shared" si="3"/>
        <v>0.3</v>
      </c>
      <c r="Y16" s="16">
        <f t="shared" si="3"/>
        <v>0.3</v>
      </c>
      <c r="Z16" s="16">
        <f t="shared" si="3"/>
        <v>0.3</v>
      </c>
    </row>
    <row r="17" spans="3:26" x14ac:dyDescent="0.25">
      <c r="C17" s="16">
        <f t="shared" si="1"/>
        <v>0.3</v>
      </c>
      <c r="D17" s="16">
        <f t="shared" si="1"/>
        <v>0.3</v>
      </c>
      <c r="E17" s="16">
        <f t="shared" si="1"/>
        <v>0.3</v>
      </c>
      <c r="F17" s="16">
        <f t="shared" si="1"/>
        <v>0.3</v>
      </c>
      <c r="G17" s="16">
        <f t="shared" si="1"/>
        <v>0.3</v>
      </c>
      <c r="H17" s="16">
        <f t="shared" si="1"/>
        <v>0.3</v>
      </c>
      <c r="I17" s="16">
        <f t="shared" si="1"/>
        <v>0.3</v>
      </c>
      <c r="J17" s="16">
        <f t="shared" si="1"/>
        <v>0.3</v>
      </c>
      <c r="K17" s="16">
        <f t="shared" si="1"/>
        <v>0.3</v>
      </c>
      <c r="L17" s="16">
        <f t="shared" si="1"/>
        <v>0.3</v>
      </c>
      <c r="M17" s="16">
        <f t="shared" si="1"/>
        <v>0.3</v>
      </c>
      <c r="N17" s="16">
        <f t="shared" si="1"/>
        <v>0.3</v>
      </c>
      <c r="O17" s="16">
        <f t="shared" si="1"/>
        <v>0.3</v>
      </c>
      <c r="P17" s="16">
        <f t="shared" si="1"/>
        <v>0.3</v>
      </c>
      <c r="Q17" s="16">
        <f t="shared" si="1"/>
        <v>0.3</v>
      </c>
      <c r="R17" s="16">
        <f t="shared" si="1"/>
        <v>0.3</v>
      </c>
      <c r="S17" s="16">
        <f t="shared" si="2"/>
        <v>0.3</v>
      </c>
      <c r="T17" s="16">
        <f t="shared" si="2"/>
        <v>0.3</v>
      </c>
      <c r="U17" s="16">
        <f t="shared" si="2"/>
        <v>0.3</v>
      </c>
      <c r="V17" s="16">
        <f t="shared" si="3"/>
        <v>0.3</v>
      </c>
      <c r="W17" s="16">
        <f t="shared" si="3"/>
        <v>0.3</v>
      </c>
      <c r="X17" s="16">
        <f t="shared" si="3"/>
        <v>0.3</v>
      </c>
      <c r="Y17" s="16">
        <f t="shared" si="3"/>
        <v>0.3</v>
      </c>
      <c r="Z17" s="16">
        <f t="shared" si="3"/>
        <v>0.3</v>
      </c>
    </row>
    <row r="18" spans="3:26" x14ac:dyDescent="0.25">
      <c r="C18" s="16">
        <f t="shared" si="1"/>
        <v>0.3</v>
      </c>
      <c r="D18" s="16">
        <f t="shared" si="1"/>
        <v>0.3</v>
      </c>
      <c r="E18" s="16">
        <f t="shared" si="1"/>
        <v>0.3</v>
      </c>
      <c r="F18" s="16">
        <f t="shared" si="1"/>
        <v>0.3</v>
      </c>
      <c r="G18" s="16">
        <f t="shared" si="1"/>
        <v>0.3</v>
      </c>
      <c r="H18" s="16">
        <f t="shared" si="1"/>
        <v>0.3</v>
      </c>
      <c r="I18" s="16">
        <f t="shared" si="1"/>
        <v>0.3</v>
      </c>
      <c r="J18" s="16">
        <f t="shared" si="1"/>
        <v>0.3</v>
      </c>
      <c r="K18" s="16">
        <f t="shared" si="1"/>
        <v>0.3</v>
      </c>
      <c r="L18" s="16">
        <f t="shared" si="1"/>
        <v>0.3</v>
      </c>
      <c r="M18" s="16">
        <f t="shared" si="1"/>
        <v>0.3</v>
      </c>
      <c r="N18" s="16">
        <f t="shared" si="1"/>
        <v>0.3</v>
      </c>
      <c r="O18" s="16">
        <f t="shared" si="1"/>
        <v>0.3</v>
      </c>
      <c r="P18" s="16">
        <f t="shared" si="1"/>
        <v>0.3</v>
      </c>
      <c r="Q18" s="16">
        <f t="shared" si="1"/>
        <v>0.3</v>
      </c>
      <c r="R18" s="16">
        <f t="shared" si="1"/>
        <v>0.3</v>
      </c>
      <c r="S18" s="16">
        <f t="shared" si="2"/>
        <v>0.3</v>
      </c>
      <c r="T18" s="16">
        <f t="shared" si="2"/>
        <v>0.3</v>
      </c>
      <c r="U18" s="16">
        <f t="shared" si="2"/>
        <v>0.3</v>
      </c>
      <c r="V18" s="16">
        <f t="shared" si="3"/>
        <v>0.3</v>
      </c>
      <c r="W18" s="16">
        <f t="shared" si="3"/>
        <v>0.3</v>
      </c>
      <c r="X18" s="16">
        <f t="shared" si="3"/>
        <v>0.3</v>
      </c>
      <c r="Y18" s="16">
        <f t="shared" si="3"/>
        <v>0.3</v>
      </c>
      <c r="Z18" s="16">
        <f t="shared" si="3"/>
        <v>0.3</v>
      </c>
    </row>
    <row r="19" spans="3:26" x14ac:dyDescent="0.25">
      <c r="C19" s="16">
        <f t="shared" si="1"/>
        <v>0.3</v>
      </c>
      <c r="D19" s="16">
        <f t="shared" si="1"/>
        <v>0.3</v>
      </c>
      <c r="E19" s="16">
        <f t="shared" si="1"/>
        <v>0.3</v>
      </c>
      <c r="F19" s="16">
        <f t="shared" si="1"/>
        <v>0.3</v>
      </c>
      <c r="G19" s="16">
        <f t="shared" si="1"/>
        <v>0.3</v>
      </c>
      <c r="H19" s="16">
        <f t="shared" si="1"/>
        <v>0.3</v>
      </c>
      <c r="I19" s="16">
        <f t="shared" si="1"/>
        <v>0.3</v>
      </c>
      <c r="J19" s="16">
        <f t="shared" si="1"/>
        <v>0.3</v>
      </c>
      <c r="K19" s="16">
        <f t="shared" si="1"/>
        <v>0.3</v>
      </c>
      <c r="L19" s="16">
        <f t="shared" si="1"/>
        <v>0.3</v>
      </c>
      <c r="M19" s="16">
        <f t="shared" si="1"/>
        <v>0.3</v>
      </c>
      <c r="N19" s="16">
        <f t="shared" si="1"/>
        <v>0.3</v>
      </c>
      <c r="O19" s="16">
        <f t="shared" si="1"/>
        <v>0.3</v>
      </c>
      <c r="P19" s="16">
        <f t="shared" si="1"/>
        <v>0.3</v>
      </c>
      <c r="Q19" s="16">
        <f t="shared" si="1"/>
        <v>0.3</v>
      </c>
      <c r="R19" s="16">
        <f t="shared" si="1"/>
        <v>0.3</v>
      </c>
      <c r="S19" s="16">
        <f t="shared" si="2"/>
        <v>0.3</v>
      </c>
      <c r="T19" s="16">
        <f t="shared" si="2"/>
        <v>0.3</v>
      </c>
      <c r="U19" s="16">
        <f t="shared" si="2"/>
        <v>0.3</v>
      </c>
      <c r="V19" s="16">
        <f t="shared" si="3"/>
        <v>0.3</v>
      </c>
      <c r="W19" s="16">
        <f t="shared" si="3"/>
        <v>0.3</v>
      </c>
      <c r="X19" s="16">
        <f t="shared" si="3"/>
        <v>0.3</v>
      </c>
      <c r="Y19" s="16">
        <f t="shared" si="3"/>
        <v>0.3</v>
      </c>
      <c r="Z19" s="16">
        <f t="shared" si="3"/>
        <v>0.3</v>
      </c>
    </row>
    <row r="20" spans="3:26" x14ac:dyDescent="0.25">
      <c r="C20" s="16">
        <f t="shared" si="1"/>
        <v>0.3</v>
      </c>
      <c r="D20" s="16">
        <f t="shared" si="1"/>
        <v>0.3</v>
      </c>
      <c r="E20" s="16">
        <f t="shared" si="1"/>
        <v>0.3</v>
      </c>
      <c r="F20" s="16">
        <f t="shared" si="1"/>
        <v>0.3</v>
      </c>
      <c r="G20" s="16">
        <f t="shared" si="1"/>
        <v>0.3</v>
      </c>
      <c r="H20" s="16">
        <f t="shared" si="1"/>
        <v>0.3</v>
      </c>
      <c r="I20" s="16">
        <f t="shared" si="1"/>
        <v>0.3</v>
      </c>
      <c r="J20" s="16">
        <f t="shared" si="1"/>
        <v>0.3</v>
      </c>
      <c r="K20" s="16">
        <f t="shared" si="1"/>
        <v>0.3</v>
      </c>
      <c r="L20" s="16">
        <f t="shared" si="1"/>
        <v>0.3</v>
      </c>
      <c r="M20" s="16">
        <f t="shared" si="1"/>
        <v>0.3</v>
      </c>
      <c r="N20" s="16">
        <f t="shared" si="1"/>
        <v>0.3</v>
      </c>
      <c r="O20" s="16">
        <f t="shared" si="1"/>
        <v>0.3</v>
      </c>
      <c r="P20" s="16">
        <f t="shared" si="1"/>
        <v>0.3</v>
      </c>
      <c r="Q20" s="16">
        <f t="shared" si="1"/>
        <v>0.3</v>
      </c>
      <c r="R20" s="16">
        <f t="shared" si="1"/>
        <v>0.3</v>
      </c>
      <c r="S20" s="16">
        <f t="shared" si="2"/>
        <v>0.3</v>
      </c>
      <c r="T20" s="16">
        <f t="shared" si="2"/>
        <v>0.3</v>
      </c>
      <c r="U20" s="16">
        <f t="shared" si="2"/>
        <v>0.3</v>
      </c>
      <c r="V20" s="16">
        <f t="shared" si="3"/>
        <v>0.3</v>
      </c>
      <c r="W20" s="16">
        <f t="shared" si="3"/>
        <v>0.3</v>
      </c>
      <c r="X20" s="16">
        <f t="shared" si="3"/>
        <v>0.3</v>
      </c>
      <c r="Y20" s="16">
        <f t="shared" si="3"/>
        <v>0.3</v>
      </c>
      <c r="Z20" s="16">
        <f t="shared" si="3"/>
        <v>0.3</v>
      </c>
    </row>
    <row r="21" spans="3:26" x14ac:dyDescent="0.25">
      <c r="C21" s="16">
        <f t="shared" si="1"/>
        <v>0.3</v>
      </c>
      <c r="D21" s="16">
        <f t="shared" si="1"/>
        <v>0.3</v>
      </c>
      <c r="E21" s="16">
        <f t="shared" si="1"/>
        <v>0.3</v>
      </c>
      <c r="F21" s="16">
        <f t="shared" si="1"/>
        <v>0.3</v>
      </c>
      <c r="G21" s="16">
        <f t="shared" si="1"/>
        <v>0.3</v>
      </c>
      <c r="H21" s="16">
        <f t="shared" si="1"/>
        <v>0.3</v>
      </c>
      <c r="I21" s="16">
        <f t="shared" si="1"/>
        <v>0.3</v>
      </c>
      <c r="J21" s="16">
        <f t="shared" si="1"/>
        <v>0.3</v>
      </c>
      <c r="K21" s="16">
        <f t="shared" si="1"/>
        <v>0.3</v>
      </c>
      <c r="L21" s="16">
        <f t="shared" si="1"/>
        <v>0.3</v>
      </c>
      <c r="M21" s="16">
        <f t="shared" si="1"/>
        <v>0.3</v>
      </c>
      <c r="N21" s="16">
        <f t="shared" si="1"/>
        <v>0.3</v>
      </c>
      <c r="O21" s="16">
        <f t="shared" si="1"/>
        <v>0.3</v>
      </c>
      <c r="P21" s="16">
        <f t="shared" si="1"/>
        <v>0.3</v>
      </c>
      <c r="Q21" s="16">
        <f t="shared" si="1"/>
        <v>0.3</v>
      </c>
      <c r="R21" s="16">
        <f t="shared" si="1"/>
        <v>0.3</v>
      </c>
      <c r="S21" s="16">
        <f t="shared" si="2"/>
        <v>0.3</v>
      </c>
      <c r="T21" s="16">
        <f t="shared" si="2"/>
        <v>0.3</v>
      </c>
      <c r="U21" s="16">
        <f t="shared" si="2"/>
        <v>0.3</v>
      </c>
      <c r="V21" s="16">
        <f t="shared" si="3"/>
        <v>0.3</v>
      </c>
      <c r="W21" s="16">
        <f t="shared" si="3"/>
        <v>0.3</v>
      </c>
      <c r="X21" s="16">
        <f t="shared" si="3"/>
        <v>0.3</v>
      </c>
      <c r="Y21" s="16">
        <f t="shared" si="3"/>
        <v>0.3</v>
      </c>
      <c r="Z21" s="16">
        <f t="shared" si="3"/>
        <v>0.3</v>
      </c>
    </row>
    <row r="22" spans="3:26" x14ac:dyDescent="0.25">
      <c r="C22" s="16">
        <f t="shared" si="1"/>
        <v>0.3</v>
      </c>
      <c r="D22" s="16">
        <f t="shared" si="1"/>
        <v>0.3</v>
      </c>
      <c r="E22" s="16">
        <f t="shared" si="1"/>
        <v>0.3</v>
      </c>
      <c r="F22" s="16">
        <f t="shared" si="1"/>
        <v>0.3</v>
      </c>
      <c r="G22" s="16">
        <f t="shared" si="1"/>
        <v>0.3</v>
      </c>
      <c r="H22" s="16">
        <f t="shared" si="1"/>
        <v>0.3</v>
      </c>
      <c r="I22" s="16">
        <f t="shared" si="1"/>
        <v>0.3</v>
      </c>
      <c r="J22" s="16">
        <f t="shared" si="1"/>
        <v>0.3</v>
      </c>
      <c r="K22" s="16">
        <f t="shared" si="1"/>
        <v>0.3</v>
      </c>
      <c r="L22" s="16">
        <f t="shared" si="1"/>
        <v>0.3</v>
      </c>
      <c r="M22" s="16">
        <f t="shared" si="1"/>
        <v>0.3</v>
      </c>
      <c r="N22" s="16">
        <f t="shared" si="1"/>
        <v>0.3</v>
      </c>
      <c r="O22" s="16">
        <f t="shared" si="1"/>
        <v>0.3</v>
      </c>
      <c r="P22" s="16">
        <f t="shared" si="1"/>
        <v>0.3</v>
      </c>
      <c r="Q22" s="16">
        <f t="shared" si="1"/>
        <v>0.3</v>
      </c>
      <c r="R22" s="16">
        <f t="shared" si="1"/>
        <v>0.3</v>
      </c>
      <c r="S22" s="16">
        <f t="shared" si="2"/>
        <v>0.3</v>
      </c>
      <c r="T22" s="16">
        <f t="shared" si="2"/>
        <v>0.3</v>
      </c>
      <c r="U22" s="16">
        <f t="shared" si="2"/>
        <v>0.3</v>
      </c>
      <c r="V22" s="16">
        <f t="shared" si="3"/>
        <v>0.3</v>
      </c>
      <c r="W22" s="16">
        <f t="shared" si="3"/>
        <v>0.3</v>
      </c>
      <c r="X22" s="16">
        <f t="shared" si="3"/>
        <v>0.3</v>
      </c>
      <c r="Y22" s="16">
        <f t="shared" si="3"/>
        <v>0.3</v>
      </c>
      <c r="Z22" s="16">
        <f t="shared" si="3"/>
        <v>0.3</v>
      </c>
    </row>
    <row r="23" spans="3:26" x14ac:dyDescent="0.25">
      <c r="C23" s="16">
        <f t="shared" si="1"/>
        <v>0.3</v>
      </c>
      <c r="D23" s="16">
        <f t="shared" si="1"/>
        <v>0.3</v>
      </c>
      <c r="E23" s="16">
        <f t="shared" si="1"/>
        <v>0.3</v>
      </c>
      <c r="F23" s="16">
        <f t="shared" si="1"/>
        <v>0.3</v>
      </c>
      <c r="G23" s="16">
        <f t="shared" si="1"/>
        <v>0.3</v>
      </c>
      <c r="H23" s="16">
        <f t="shared" si="1"/>
        <v>0.3</v>
      </c>
      <c r="I23" s="16">
        <f t="shared" si="1"/>
        <v>0.3</v>
      </c>
      <c r="J23" s="16">
        <f t="shared" si="1"/>
        <v>0.3</v>
      </c>
      <c r="K23" s="16">
        <f t="shared" si="1"/>
        <v>0.3</v>
      </c>
      <c r="L23" s="16">
        <f t="shared" si="1"/>
        <v>0.3</v>
      </c>
      <c r="M23" s="16">
        <f t="shared" si="1"/>
        <v>0.3</v>
      </c>
      <c r="N23" s="16">
        <f t="shared" si="1"/>
        <v>0.3</v>
      </c>
      <c r="O23" s="16">
        <f t="shared" si="1"/>
        <v>0.3</v>
      </c>
      <c r="P23" s="16">
        <f t="shared" si="1"/>
        <v>0.3</v>
      </c>
      <c r="Q23" s="16">
        <f t="shared" si="1"/>
        <v>0.3</v>
      </c>
      <c r="R23" s="16">
        <f t="shared" si="1"/>
        <v>0.3</v>
      </c>
      <c r="S23" s="16">
        <f t="shared" si="2"/>
        <v>0.3</v>
      </c>
      <c r="T23" s="16">
        <f t="shared" si="2"/>
        <v>0.3</v>
      </c>
      <c r="U23" s="16">
        <f t="shared" si="2"/>
        <v>0.3</v>
      </c>
      <c r="V23" s="16">
        <f t="shared" si="3"/>
        <v>0.3</v>
      </c>
      <c r="W23" s="16">
        <f t="shared" si="3"/>
        <v>0.3</v>
      </c>
      <c r="X23" s="16">
        <f t="shared" si="3"/>
        <v>0.3</v>
      </c>
      <c r="Y23" s="16">
        <f t="shared" si="3"/>
        <v>0.3</v>
      </c>
      <c r="Z23" s="16">
        <f t="shared" si="3"/>
        <v>0.3</v>
      </c>
    </row>
    <row r="24" spans="3:26" x14ac:dyDescent="0.25">
      <c r="C24" s="16">
        <f t="shared" si="1"/>
        <v>0.3</v>
      </c>
      <c r="D24" s="16">
        <f t="shared" si="1"/>
        <v>0.3</v>
      </c>
      <c r="E24" s="16">
        <f t="shared" si="1"/>
        <v>0.3</v>
      </c>
      <c r="F24" s="16">
        <f t="shared" si="1"/>
        <v>0.3</v>
      </c>
      <c r="G24" s="16">
        <f t="shared" si="1"/>
        <v>0.3</v>
      </c>
      <c r="H24" s="16">
        <f t="shared" si="1"/>
        <v>0.3</v>
      </c>
      <c r="I24" s="16">
        <f t="shared" si="1"/>
        <v>0.3</v>
      </c>
      <c r="J24" s="16">
        <f t="shared" si="1"/>
        <v>0.3</v>
      </c>
      <c r="K24" s="16">
        <f t="shared" si="1"/>
        <v>0.3</v>
      </c>
      <c r="L24" s="16">
        <f t="shared" si="1"/>
        <v>0.3</v>
      </c>
      <c r="M24" s="16">
        <f t="shared" si="1"/>
        <v>0.3</v>
      </c>
      <c r="N24" s="16">
        <f t="shared" si="1"/>
        <v>0.3</v>
      </c>
      <c r="O24" s="16">
        <f t="shared" si="1"/>
        <v>0.3</v>
      </c>
      <c r="P24" s="16">
        <f t="shared" si="1"/>
        <v>0.3</v>
      </c>
      <c r="Q24" s="16">
        <f t="shared" si="1"/>
        <v>0.3</v>
      </c>
      <c r="R24" s="16">
        <f t="shared" si="1"/>
        <v>0.3</v>
      </c>
      <c r="S24" s="16">
        <f t="shared" si="2"/>
        <v>0.3</v>
      </c>
      <c r="T24" s="16">
        <f t="shared" si="2"/>
        <v>0.3</v>
      </c>
      <c r="U24" s="16">
        <f t="shared" si="2"/>
        <v>0.3</v>
      </c>
      <c r="V24" s="16">
        <f t="shared" si="3"/>
        <v>0.3</v>
      </c>
      <c r="W24" s="16">
        <f t="shared" si="3"/>
        <v>0.3</v>
      </c>
      <c r="X24" s="16">
        <f t="shared" si="3"/>
        <v>0.3</v>
      </c>
      <c r="Y24" s="16">
        <f t="shared" si="3"/>
        <v>0.3</v>
      </c>
      <c r="Z24" s="16">
        <f t="shared" si="3"/>
        <v>0.3</v>
      </c>
    </row>
    <row r="25" spans="3:26" x14ac:dyDescent="0.25">
      <c r="C25" s="16">
        <f t="shared" si="1"/>
        <v>0.3</v>
      </c>
      <c r="D25" s="16">
        <f t="shared" si="1"/>
        <v>0.3</v>
      </c>
      <c r="E25" s="16">
        <f t="shared" si="1"/>
        <v>0.3</v>
      </c>
      <c r="F25" s="16">
        <f t="shared" si="1"/>
        <v>0.3</v>
      </c>
      <c r="G25" s="16">
        <f t="shared" si="1"/>
        <v>0.3</v>
      </c>
      <c r="H25" s="16">
        <f t="shared" si="1"/>
        <v>0.3</v>
      </c>
      <c r="I25" s="16">
        <f t="shared" si="1"/>
        <v>0.3</v>
      </c>
      <c r="J25" s="16">
        <f t="shared" si="1"/>
        <v>0.3</v>
      </c>
      <c r="K25" s="16">
        <f t="shared" si="1"/>
        <v>0.3</v>
      </c>
      <c r="L25" s="16">
        <f t="shared" si="1"/>
        <v>0.3</v>
      </c>
      <c r="M25" s="16">
        <f t="shared" si="1"/>
        <v>0.3</v>
      </c>
      <c r="N25" s="16">
        <f t="shared" si="1"/>
        <v>0.3</v>
      </c>
      <c r="O25" s="16">
        <f t="shared" si="1"/>
        <v>0.3</v>
      </c>
      <c r="P25" s="16">
        <f t="shared" si="1"/>
        <v>0.3</v>
      </c>
      <c r="Q25" s="16">
        <f t="shared" si="1"/>
        <v>0.3</v>
      </c>
      <c r="R25" s="16">
        <f t="shared" si="1"/>
        <v>0.3</v>
      </c>
      <c r="S25" s="16">
        <f t="shared" si="2"/>
        <v>0.3</v>
      </c>
      <c r="T25" s="16">
        <f t="shared" si="2"/>
        <v>0.3</v>
      </c>
      <c r="U25" s="16">
        <f t="shared" si="2"/>
        <v>0.3</v>
      </c>
      <c r="V25" s="16">
        <f t="shared" si="3"/>
        <v>0.3</v>
      </c>
      <c r="W25" s="16">
        <f t="shared" si="3"/>
        <v>0.3</v>
      </c>
      <c r="X25" s="16">
        <f t="shared" si="3"/>
        <v>0.3</v>
      </c>
      <c r="Y25" s="16">
        <f t="shared" si="3"/>
        <v>0.3</v>
      </c>
      <c r="Z25" s="16">
        <f t="shared" si="3"/>
        <v>0.3</v>
      </c>
    </row>
    <row r="26" spans="3:26" x14ac:dyDescent="0.25">
      <c r="C26" s="16">
        <f t="shared" si="1"/>
        <v>0.3</v>
      </c>
      <c r="D26" s="16">
        <f t="shared" si="1"/>
        <v>0.3</v>
      </c>
      <c r="E26" s="16">
        <f t="shared" si="1"/>
        <v>0.3</v>
      </c>
      <c r="F26" s="16">
        <f t="shared" si="1"/>
        <v>0.3</v>
      </c>
      <c r="G26" s="16">
        <f t="shared" si="1"/>
        <v>0.3</v>
      </c>
      <c r="H26" s="16">
        <f t="shared" si="1"/>
        <v>0.3</v>
      </c>
      <c r="I26" s="16">
        <f t="shared" si="1"/>
        <v>0.3</v>
      </c>
      <c r="J26" s="16">
        <f t="shared" si="1"/>
        <v>0.3</v>
      </c>
      <c r="K26" s="16">
        <f t="shared" si="1"/>
        <v>0.3</v>
      </c>
      <c r="L26" s="16">
        <f t="shared" si="1"/>
        <v>0.3</v>
      </c>
      <c r="M26" s="16">
        <f t="shared" si="1"/>
        <v>0.3</v>
      </c>
      <c r="N26" s="16">
        <f t="shared" si="1"/>
        <v>0.3</v>
      </c>
      <c r="O26" s="16">
        <f t="shared" si="1"/>
        <v>0.3</v>
      </c>
      <c r="P26" s="16">
        <f t="shared" si="1"/>
        <v>0.3</v>
      </c>
      <c r="Q26" s="16">
        <f t="shared" si="1"/>
        <v>0.3</v>
      </c>
      <c r="R26" s="16">
        <f t="shared" si="1"/>
        <v>0.3</v>
      </c>
      <c r="S26" s="16">
        <f t="shared" si="2"/>
        <v>0.3</v>
      </c>
      <c r="T26" s="16">
        <f t="shared" si="2"/>
        <v>0.3</v>
      </c>
      <c r="U26" s="16">
        <f t="shared" si="2"/>
        <v>0.3</v>
      </c>
      <c r="V26" s="16">
        <f t="shared" si="3"/>
        <v>0.3</v>
      </c>
      <c r="W26" s="16">
        <f t="shared" si="3"/>
        <v>0.3</v>
      </c>
      <c r="X26" s="16">
        <f t="shared" si="3"/>
        <v>0.3</v>
      </c>
      <c r="Y26" s="16">
        <f t="shared" si="3"/>
        <v>0.3</v>
      </c>
      <c r="Z26" s="16">
        <f t="shared" si="3"/>
        <v>0.3</v>
      </c>
    </row>
    <row r="27" spans="3:26" x14ac:dyDescent="0.25">
      <c r="C27" s="16">
        <f t="shared" si="1"/>
        <v>0.3</v>
      </c>
      <c r="D27" s="16">
        <f t="shared" si="1"/>
        <v>0.3</v>
      </c>
      <c r="E27" s="16">
        <f t="shared" si="1"/>
        <v>0.3</v>
      </c>
      <c r="F27" s="16">
        <f t="shared" si="1"/>
        <v>0.3</v>
      </c>
      <c r="G27" s="16">
        <f t="shared" si="1"/>
        <v>0.3</v>
      </c>
      <c r="H27" s="16">
        <f t="shared" si="1"/>
        <v>0.3</v>
      </c>
      <c r="I27" s="16">
        <f t="shared" si="1"/>
        <v>0.3</v>
      </c>
      <c r="J27" s="16">
        <f t="shared" si="1"/>
        <v>0.3</v>
      </c>
      <c r="K27" s="16">
        <f t="shared" si="1"/>
        <v>0.3</v>
      </c>
      <c r="L27" s="16">
        <f t="shared" si="1"/>
        <v>0.3</v>
      </c>
      <c r="M27" s="16">
        <f t="shared" si="1"/>
        <v>0.3</v>
      </c>
      <c r="N27" s="16">
        <f t="shared" si="1"/>
        <v>0.3</v>
      </c>
      <c r="O27" s="16">
        <f t="shared" si="1"/>
        <v>0.3</v>
      </c>
      <c r="P27" s="16">
        <f t="shared" si="1"/>
        <v>0.3</v>
      </c>
      <c r="Q27" s="16">
        <f t="shared" si="1"/>
        <v>0.3</v>
      </c>
      <c r="R27" s="16">
        <f t="shared" si="1"/>
        <v>0.3</v>
      </c>
      <c r="S27" s="16">
        <f t="shared" si="2"/>
        <v>0.3</v>
      </c>
      <c r="T27" s="16">
        <f t="shared" si="2"/>
        <v>0.3</v>
      </c>
      <c r="U27" s="16">
        <f t="shared" si="2"/>
        <v>0.3</v>
      </c>
      <c r="V27" s="16">
        <f t="shared" si="3"/>
        <v>0.3</v>
      </c>
      <c r="W27" s="16">
        <f t="shared" si="3"/>
        <v>0.3</v>
      </c>
      <c r="X27" s="16">
        <f t="shared" si="3"/>
        <v>0.3</v>
      </c>
      <c r="Y27" s="16">
        <f t="shared" si="3"/>
        <v>0.3</v>
      </c>
      <c r="Z27" s="16">
        <f t="shared" si="3"/>
        <v>0.3</v>
      </c>
    </row>
    <row r="28" spans="3:26" x14ac:dyDescent="0.25">
      <c r="C28" s="16">
        <f t="shared" si="1"/>
        <v>0.3</v>
      </c>
      <c r="D28" s="16">
        <f t="shared" si="1"/>
        <v>0.3</v>
      </c>
      <c r="E28" s="16">
        <f t="shared" si="1"/>
        <v>0.3</v>
      </c>
      <c r="F28" s="16">
        <f t="shared" si="1"/>
        <v>0.3</v>
      </c>
      <c r="G28" s="16">
        <f t="shared" si="1"/>
        <v>0.3</v>
      </c>
      <c r="H28" s="16">
        <f t="shared" si="1"/>
        <v>0.3</v>
      </c>
      <c r="I28" s="16">
        <f t="shared" si="1"/>
        <v>0.3</v>
      </c>
      <c r="J28" s="16">
        <f t="shared" si="1"/>
        <v>0.3</v>
      </c>
      <c r="K28" s="16">
        <f t="shared" si="1"/>
        <v>0.3</v>
      </c>
      <c r="L28" s="16">
        <f t="shared" si="1"/>
        <v>0.3</v>
      </c>
      <c r="M28" s="16">
        <f t="shared" si="1"/>
        <v>0.3</v>
      </c>
      <c r="N28" s="16">
        <f t="shared" si="1"/>
        <v>0.3</v>
      </c>
      <c r="O28" s="16">
        <f t="shared" si="1"/>
        <v>0.3</v>
      </c>
      <c r="P28" s="16">
        <f t="shared" si="1"/>
        <v>0.3</v>
      </c>
      <c r="Q28" s="16">
        <f t="shared" si="1"/>
        <v>0.3</v>
      </c>
      <c r="R28" s="16">
        <f t="shared" si="1"/>
        <v>0.3</v>
      </c>
      <c r="S28" s="16">
        <f t="shared" si="2"/>
        <v>0.3</v>
      </c>
      <c r="T28" s="16">
        <f t="shared" si="2"/>
        <v>0.3</v>
      </c>
      <c r="U28" s="16">
        <f t="shared" si="2"/>
        <v>0.3</v>
      </c>
      <c r="V28" s="16">
        <f t="shared" si="3"/>
        <v>0.3</v>
      </c>
      <c r="W28" s="16">
        <f t="shared" si="3"/>
        <v>0.3</v>
      </c>
      <c r="X28" s="16">
        <f t="shared" si="3"/>
        <v>0.3</v>
      </c>
      <c r="Y28" s="16">
        <f t="shared" si="3"/>
        <v>0.3</v>
      </c>
      <c r="Z28" s="16">
        <f t="shared" si="3"/>
        <v>0.3</v>
      </c>
    </row>
    <row r="29" spans="3:26" x14ac:dyDescent="0.25">
      <c r="C29" s="16">
        <f t="shared" si="1"/>
        <v>0.3</v>
      </c>
      <c r="D29" s="16">
        <f t="shared" si="1"/>
        <v>0.3</v>
      </c>
      <c r="E29" s="16">
        <f t="shared" si="1"/>
        <v>0.3</v>
      </c>
      <c r="F29" s="16">
        <f t="shared" si="1"/>
        <v>0.3</v>
      </c>
      <c r="G29" s="16">
        <f t="shared" si="1"/>
        <v>0.3</v>
      </c>
      <c r="H29" s="16">
        <f t="shared" si="1"/>
        <v>0.3</v>
      </c>
      <c r="I29" s="16">
        <f t="shared" si="1"/>
        <v>0.3</v>
      </c>
      <c r="J29" s="16">
        <f t="shared" si="1"/>
        <v>0.3</v>
      </c>
      <c r="K29" s="16">
        <f t="shared" si="1"/>
        <v>0.3</v>
      </c>
      <c r="L29" s="16">
        <f t="shared" si="1"/>
        <v>0.3</v>
      </c>
      <c r="M29" s="16">
        <f t="shared" si="1"/>
        <v>0.3</v>
      </c>
      <c r="N29" s="16">
        <f t="shared" si="1"/>
        <v>0.3</v>
      </c>
      <c r="O29" s="16">
        <f t="shared" si="1"/>
        <v>0.3</v>
      </c>
      <c r="P29" s="16">
        <f t="shared" si="1"/>
        <v>0.3</v>
      </c>
      <c r="Q29" s="16">
        <f t="shared" si="1"/>
        <v>0.3</v>
      </c>
      <c r="R29" s="16">
        <f t="shared" si="1"/>
        <v>0.3</v>
      </c>
      <c r="S29" s="16">
        <f t="shared" si="2"/>
        <v>0.3</v>
      </c>
      <c r="T29" s="16">
        <f t="shared" si="2"/>
        <v>0.3</v>
      </c>
      <c r="U29" s="16">
        <f t="shared" si="2"/>
        <v>0.3</v>
      </c>
      <c r="V29" s="16">
        <f t="shared" si="3"/>
        <v>0.3</v>
      </c>
      <c r="W29" s="16">
        <f t="shared" si="3"/>
        <v>0.3</v>
      </c>
      <c r="X29" s="16">
        <f t="shared" si="3"/>
        <v>0.3</v>
      </c>
      <c r="Y29" s="16">
        <f t="shared" si="3"/>
        <v>0.3</v>
      </c>
      <c r="Z29" s="16">
        <f t="shared" si="3"/>
        <v>0.3</v>
      </c>
    </row>
    <row r="30" spans="3:26" x14ac:dyDescent="0.25">
      <c r="C30" s="16">
        <f t="shared" si="1"/>
        <v>0.3</v>
      </c>
      <c r="D30" s="16">
        <f t="shared" si="1"/>
        <v>0.3</v>
      </c>
      <c r="E30" s="16">
        <f t="shared" si="1"/>
        <v>0.3</v>
      </c>
      <c r="F30" s="16">
        <f t="shared" si="1"/>
        <v>0.3</v>
      </c>
      <c r="G30" s="16">
        <f t="shared" si="1"/>
        <v>0.3</v>
      </c>
      <c r="H30" s="16">
        <f t="shared" si="1"/>
        <v>0.3</v>
      </c>
      <c r="I30" s="16">
        <f t="shared" si="1"/>
        <v>0.3</v>
      </c>
      <c r="J30" s="16">
        <f t="shared" si="1"/>
        <v>0.3</v>
      </c>
      <c r="K30" s="16">
        <f t="shared" si="1"/>
        <v>0.3</v>
      </c>
      <c r="L30" s="16">
        <f t="shared" si="1"/>
        <v>0.3</v>
      </c>
      <c r="M30" s="16">
        <f t="shared" si="1"/>
        <v>0.3</v>
      </c>
      <c r="N30" s="16">
        <f t="shared" si="1"/>
        <v>0.3</v>
      </c>
      <c r="O30" s="16">
        <f t="shared" si="1"/>
        <v>0.3</v>
      </c>
      <c r="P30" s="16">
        <f t="shared" si="1"/>
        <v>0.3</v>
      </c>
      <c r="Q30" s="16">
        <f t="shared" si="1"/>
        <v>0.3</v>
      </c>
      <c r="R30" s="16">
        <f t="shared" si="1"/>
        <v>0.3</v>
      </c>
      <c r="S30" s="16">
        <f t="shared" si="2"/>
        <v>0.3</v>
      </c>
      <c r="T30" s="16">
        <f t="shared" si="2"/>
        <v>0.3</v>
      </c>
      <c r="U30" s="16">
        <f t="shared" si="2"/>
        <v>0.3</v>
      </c>
      <c r="V30" s="16">
        <f t="shared" si="3"/>
        <v>0.3</v>
      </c>
      <c r="W30" s="16">
        <f t="shared" si="3"/>
        <v>0.3</v>
      </c>
      <c r="X30" s="16">
        <f t="shared" si="3"/>
        <v>0.3</v>
      </c>
      <c r="Y30" s="16">
        <f t="shared" si="3"/>
        <v>0.3</v>
      </c>
      <c r="Z30" s="16">
        <f t="shared" si="3"/>
        <v>0.3</v>
      </c>
    </row>
    <row r="31" spans="3:26" x14ac:dyDescent="0.25">
      <c r="C31" s="16">
        <f t="shared" si="1"/>
        <v>0.3</v>
      </c>
      <c r="D31" s="16">
        <f t="shared" si="1"/>
        <v>0.3</v>
      </c>
      <c r="E31" s="16">
        <f t="shared" si="1"/>
        <v>0.3</v>
      </c>
      <c r="F31" s="16">
        <f t="shared" si="1"/>
        <v>0.3</v>
      </c>
      <c r="G31" s="16">
        <f t="shared" si="1"/>
        <v>0.3</v>
      </c>
      <c r="H31" s="16">
        <f t="shared" si="1"/>
        <v>0.3</v>
      </c>
      <c r="I31" s="16">
        <f t="shared" si="1"/>
        <v>0.3</v>
      </c>
      <c r="J31" s="16">
        <f t="shared" si="1"/>
        <v>0.3</v>
      </c>
      <c r="K31" s="16">
        <f t="shared" si="1"/>
        <v>0.3</v>
      </c>
      <c r="L31" s="16">
        <f t="shared" si="1"/>
        <v>0.3</v>
      </c>
      <c r="M31" s="16">
        <f t="shared" si="1"/>
        <v>0.3</v>
      </c>
      <c r="N31" s="16">
        <f t="shared" si="1"/>
        <v>0.3</v>
      </c>
      <c r="O31" s="16">
        <f t="shared" si="1"/>
        <v>0.3</v>
      </c>
      <c r="P31" s="16">
        <f t="shared" si="1"/>
        <v>0.3</v>
      </c>
      <c r="Q31" s="16">
        <f t="shared" si="1"/>
        <v>0.3</v>
      </c>
      <c r="R31" s="16">
        <f t="shared" si="1"/>
        <v>0.3</v>
      </c>
      <c r="S31" s="16">
        <f t="shared" si="2"/>
        <v>0.3</v>
      </c>
      <c r="T31" s="16">
        <f t="shared" si="2"/>
        <v>0.3</v>
      </c>
      <c r="U31" s="16">
        <f t="shared" si="2"/>
        <v>0.3</v>
      </c>
      <c r="V31" s="16">
        <f t="shared" si="3"/>
        <v>0.3</v>
      </c>
      <c r="W31" s="16">
        <f t="shared" si="3"/>
        <v>0.3</v>
      </c>
      <c r="X31" s="16">
        <f t="shared" si="3"/>
        <v>0.3</v>
      </c>
      <c r="Y31" s="16">
        <f t="shared" si="3"/>
        <v>0.3</v>
      </c>
      <c r="Z31" s="16">
        <f t="shared" si="3"/>
        <v>0.3</v>
      </c>
    </row>
    <row r="32" spans="3:26" x14ac:dyDescent="0.25">
      <c r="C32" s="16">
        <f t="shared" si="1"/>
        <v>0.3</v>
      </c>
      <c r="D32" s="16">
        <f t="shared" si="1"/>
        <v>0.3</v>
      </c>
      <c r="E32" s="16">
        <f t="shared" si="1"/>
        <v>0.3</v>
      </c>
      <c r="F32" s="16">
        <f t="shared" si="1"/>
        <v>0.3</v>
      </c>
      <c r="G32" s="16">
        <f t="shared" ref="G32:V47" si="4">$B$6</f>
        <v>0.3</v>
      </c>
      <c r="H32" s="16">
        <f t="shared" si="4"/>
        <v>0.3</v>
      </c>
      <c r="I32" s="16">
        <f t="shared" si="4"/>
        <v>0.3</v>
      </c>
      <c r="J32" s="16">
        <f t="shared" si="4"/>
        <v>0.3</v>
      </c>
      <c r="K32" s="16">
        <f t="shared" si="4"/>
        <v>0.3</v>
      </c>
      <c r="L32" s="16">
        <f t="shared" si="4"/>
        <v>0.3</v>
      </c>
      <c r="M32" s="16">
        <f t="shared" si="4"/>
        <v>0.3</v>
      </c>
      <c r="N32" s="16">
        <f t="shared" si="4"/>
        <v>0.3</v>
      </c>
      <c r="O32" s="16">
        <f t="shared" si="4"/>
        <v>0.3</v>
      </c>
      <c r="P32" s="16">
        <f t="shared" si="4"/>
        <v>0.3</v>
      </c>
      <c r="Q32" s="16">
        <f t="shared" si="4"/>
        <v>0.3</v>
      </c>
      <c r="R32" s="16">
        <f t="shared" si="4"/>
        <v>0.3</v>
      </c>
      <c r="S32" s="16">
        <f t="shared" si="4"/>
        <v>0.3</v>
      </c>
      <c r="T32" s="16">
        <f t="shared" si="4"/>
        <v>0.3</v>
      </c>
      <c r="U32" s="16">
        <f t="shared" si="4"/>
        <v>0.3</v>
      </c>
      <c r="V32" s="16">
        <f t="shared" si="4"/>
        <v>0.3</v>
      </c>
      <c r="W32" s="16">
        <f t="shared" si="3"/>
        <v>0.3</v>
      </c>
      <c r="X32" s="16">
        <f t="shared" si="3"/>
        <v>0.3</v>
      </c>
      <c r="Y32" s="16">
        <f t="shared" si="3"/>
        <v>0.3</v>
      </c>
      <c r="Z32" s="16">
        <f t="shared" si="3"/>
        <v>0.3</v>
      </c>
    </row>
    <row r="33" spans="3:26" x14ac:dyDescent="0.25">
      <c r="C33" s="16">
        <f t="shared" ref="C33:R48" si="5">$B$6</f>
        <v>0.3</v>
      </c>
      <c r="D33" s="16">
        <f t="shared" si="5"/>
        <v>0.3</v>
      </c>
      <c r="E33" s="16">
        <f t="shared" si="5"/>
        <v>0.3</v>
      </c>
      <c r="F33" s="16">
        <f t="shared" si="5"/>
        <v>0.3</v>
      </c>
      <c r="G33" s="16">
        <f t="shared" si="5"/>
        <v>0.3</v>
      </c>
      <c r="H33" s="16">
        <f t="shared" si="5"/>
        <v>0.3</v>
      </c>
      <c r="I33" s="16">
        <f t="shared" si="5"/>
        <v>0.3</v>
      </c>
      <c r="J33" s="16">
        <f t="shared" si="5"/>
        <v>0.3</v>
      </c>
      <c r="K33" s="16">
        <f t="shared" si="5"/>
        <v>0.3</v>
      </c>
      <c r="L33" s="16">
        <f t="shared" si="5"/>
        <v>0.3</v>
      </c>
      <c r="M33" s="16">
        <f t="shared" si="5"/>
        <v>0.3</v>
      </c>
      <c r="N33" s="16">
        <f t="shared" si="5"/>
        <v>0.3</v>
      </c>
      <c r="O33" s="16">
        <f t="shared" si="5"/>
        <v>0.3</v>
      </c>
      <c r="P33" s="16">
        <f t="shared" si="5"/>
        <v>0.3</v>
      </c>
      <c r="Q33" s="16">
        <f t="shared" si="5"/>
        <v>0.3</v>
      </c>
      <c r="R33" s="16">
        <f t="shared" si="5"/>
        <v>0.3</v>
      </c>
      <c r="S33" s="16">
        <f t="shared" si="4"/>
        <v>0.3</v>
      </c>
      <c r="T33" s="16">
        <f t="shared" si="4"/>
        <v>0.3</v>
      </c>
      <c r="U33" s="16">
        <f t="shared" si="4"/>
        <v>0.3</v>
      </c>
      <c r="V33" s="16">
        <f t="shared" si="4"/>
        <v>0.3</v>
      </c>
      <c r="W33" s="16">
        <f t="shared" si="3"/>
        <v>0.3</v>
      </c>
      <c r="X33" s="16">
        <f t="shared" si="3"/>
        <v>0.3</v>
      </c>
      <c r="Y33" s="16">
        <f t="shared" si="3"/>
        <v>0.3</v>
      </c>
      <c r="Z33" s="16">
        <f t="shared" si="3"/>
        <v>0.3</v>
      </c>
    </row>
    <row r="34" spans="3:26" x14ac:dyDescent="0.25">
      <c r="C34" s="16">
        <f t="shared" si="5"/>
        <v>0.3</v>
      </c>
      <c r="D34" s="16">
        <f t="shared" si="5"/>
        <v>0.3</v>
      </c>
      <c r="E34" s="16">
        <f t="shared" si="5"/>
        <v>0.3</v>
      </c>
      <c r="F34" s="16">
        <f t="shared" si="5"/>
        <v>0.3</v>
      </c>
      <c r="G34" s="16">
        <f t="shared" si="5"/>
        <v>0.3</v>
      </c>
      <c r="H34" s="16">
        <f t="shared" si="5"/>
        <v>0.3</v>
      </c>
      <c r="I34" s="16">
        <f t="shared" si="5"/>
        <v>0.3</v>
      </c>
      <c r="J34" s="16">
        <f t="shared" si="5"/>
        <v>0.3</v>
      </c>
      <c r="K34" s="16">
        <f t="shared" si="5"/>
        <v>0.3</v>
      </c>
      <c r="L34" s="16">
        <f t="shared" si="5"/>
        <v>0.3</v>
      </c>
      <c r="M34" s="16">
        <f t="shared" si="5"/>
        <v>0.3</v>
      </c>
      <c r="N34" s="16">
        <f t="shared" si="5"/>
        <v>0.3</v>
      </c>
      <c r="O34" s="16">
        <f t="shared" si="5"/>
        <v>0.3</v>
      </c>
      <c r="P34" s="16">
        <f t="shared" si="5"/>
        <v>0.3</v>
      </c>
      <c r="Q34" s="16">
        <f t="shared" si="5"/>
        <v>0.3</v>
      </c>
      <c r="R34" s="16">
        <f t="shared" si="5"/>
        <v>0.3</v>
      </c>
      <c r="S34" s="16">
        <f t="shared" si="4"/>
        <v>0.3</v>
      </c>
      <c r="T34" s="16">
        <f t="shared" si="4"/>
        <v>0.3</v>
      </c>
      <c r="U34" s="16">
        <f t="shared" si="4"/>
        <v>0.3</v>
      </c>
      <c r="V34" s="16">
        <f t="shared" si="4"/>
        <v>0.3</v>
      </c>
      <c r="W34" s="16">
        <f t="shared" si="3"/>
        <v>0.3</v>
      </c>
      <c r="X34" s="16">
        <f t="shared" si="3"/>
        <v>0.3</v>
      </c>
      <c r="Y34" s="16">
        <f t="shared" si="3"/>
        <v>0.3</v>
      </c>
      <c r="Z34" s="16">
        <f t="shared" si="3"/>
        <v>0.3</v>
      </c>
    </row>
    <row r="35" spans="3:26" x14ac:dyDescent="0.25">
      <c r="C35" s="16">
        <f t="shared" si="5"/>
        <v>0.3</v>
      </c>
      <c r="D35" s="16">
        <f t="shared" si="5"/>
        <v>0.3</v>
      </c>
      <c r="E35" s="16">
        <f t="shared" si="5"/>
        <v>0.3</v>
      </c>
      <c r="F35" s="16">
        <f t="shared" si="5"/>
        <v>0.3</v>
      </c>
      <c r="G35" s="16">
        <f t="shared" si="5"/>
        <v>0.3</v>
      </c>
      <c r="H35" s="16">
        <f t="shared" si="5"/>
        <v>0.3</v>
      </c>
      <c r="I35" s="16">
        <f t="shared" si="5"/>
        <v>0.3</v>
      </c>
      <c r="J35" s="16">
        <f t="shared" si="5"/>
        <v>0.3</v>
      </c>
      <c r="K35" s="16">
        <f t="shared" si="5"/>
        <v>0.3</v>
      </c>
      <c r="L35" s="16">
        <f t="shared" si="5"/>
        <v>0.3</v>
      </c>
      <c r="M35" s="16">
        <f t="shared" si="5"/>
        <v>0.3</v>
      </c>
      <c r="N35" s="16">
        <f t="shared" si="5"/>
        <v>0.3</v>
      </c>
      <c r="O35" s="16">
        <f t="shared" si="5"/>
        <v>0.3</v>
      </c>
      <c r="P35" s="16">
        <f t="shared" si="5"/>
        <v>0.3</v>
      </c>
      <c r="Q35" s="16">
        <f t="shared" si="5"/>
        <v>0.3</v>
      </c>
      <c r="R35" s="16">
        <f t="shared" si="5"/>
        <v>0.3</v>
      </c>
      <c r="S35" s="16">
        <f t="shared" si="4"/>
        <v>0.3</v>
      </c>
      <c r="T35" s="16">
        <f t="shared" si="4"/>
        <v>0.3</v>
      </c>
      <c r="U35" s="16">
        <f t="shared" si="4"/>
        <v>0.3</v>
      </c>
      <c r="V35" s="16">
        <f t="shared" si="4"/>
        <v>0.3</v>
      </c>
      <c r="W35" s="16">
        <f t="shared" si="3"/>
        <v>0.3</v>
      </c>
      <c r="X35" s="16">
        <f t="shared" si="3"/>
        <v>0.3</v>
      </c>
      <c r="Y35" s="16">
        <f t="shared" si="3"/>
        <v>0.3</v>
      </c>
      <c r="Z35" s="16">
        <f t="shared" si="3"/>
        <v>0.3</v>
      </c>
    </row>
    <row r="36" spans="3:26" x14ac:dyDescent="0.25">
      <c r="C36" s="16">
        <f t="shared" si="5"/>
        <v>0.3</v>
      </c>
      <c r="D36" s="16">
        <f t="shared" si="5"/>
        <v>0.3</v>
      </c>
      <c r="E36" s="16">
        <f t="shared" si="5"/>
        <v>0.3</v>
      </c>
      <c r="F36" s="16">
        <f t="shared" si="5"/>
        <v>0.3</v>
      </c>
      <c r="G36" s="16">
        <f t="shared" si="5"/>
        <v>0.3</v>
      </c>
      <c r="H36" s="16">
        <f t="shared" si="5"/>
        <v>0.3</v>
      </c>
      <c r="I36" s="16">
        <f t="shared" si="5"/>
        <v>0.3</v>
      </c>
      <c r="J36" s="16">
        <f t="shared" si="5"/>
        <v>0.3</v>
      </c>
      <c r="K36" s="16">
        <f t="shared" si="5"/>
        <v>0.3</v>
      </c>
      <c r="L36" s="16">
        <f t="shared" si="5"/>
        <v>0.3</v>
      </c>
      <c r="M36" s="16">
        <f t="shared" si="5"/>
        <v>0.3</v>
      </c>
      <c r="N36" s="16">
        <f t="shared" si="5"/>
        <v>0.3</v>
      </c>
      <c r="O36" s="16">
        <f t="shared" si="5"/>
        <v>0.3</v>
      </c>
      <c r="P36" s="16">
        <f t="shared" si="5"/>
        <v>0.3</v>
      </c>
      <c r="Q36" s="16">
        <f t="shared" si="5"/>
        <v>0.3</v>
      </c>
      <c r="R36" s="16">
        <f t="shared" si="5"/>
        <v>0.3</v>
      </c>
      <c r="S36" s="16">
        <f t="shared" si="4"/>
        <v>0.3</v>
      </c>
      <c r="T36" s="16">
        <f t="shared" si="4"/>
        <v>0.3</v>
      </c>
      <c r="U36" s="16">
        <f t="shared" si="4"/>
        <v>0.3</v>
      </c>
      <c r="V36" s="16">
        <f t="shared" si="4"/>
        <v>0.3</v>
      </c>
      <c r="W36" s="16">
        <f t="shared" si="3"/>
        <v>0.3</v>
      </c>
      <c r="X36" s="16">
        <f t="shared" si="3"/>
        <v>0.3</v>
      </c>
      <c r="Y36" s="16">
        <f t="shared" si="3"/>
        <v>0.3</v>
      </c>
      <c r="Z36" s="16">
        <f t="shared" si="3"/>
        <v>0.3</v>
      </c>
    </row>
    <row r="37" spans="3:26" x14ac:dyDescent="0.25">
      <c r="C37" s="16">
        <f t="shared" si="5"/>
        <v>0.3</v>
      </c>
      <c r="D37" s="16">
        <f t="shared" si="5"/>
        <v>0.3</v>
      </c>
      <c r="E37" s="16">
        <f t="shared" si="5"/>
        <v>0.3</v>
      </c>
      <c r="F37" s="16">
        <f t="shared" si="5"/>
        <v>0.3</v>
      </c>
      <c r="G37" s="16">
        <f t="shared" si="5"/>
        <v>0.3</v>
      </c>
      <c r="H37" s="16">
        <f t="shared" si="5"/>
        <v>0.3</v>
      </c>
      <c r="I37" s="16">
        <f t="shared" si="5"/>
        <v>0.3</v>
      </c>
      <c r="J37" s="16">
        <f t="shared" si="5"/>
        <v>0.3</v>
      </c>
      <c r="K37" s="16">
        <f t="shared" si="5"/>
        <v>0.3</v>
      </c>
      <c r="L37" s="16">
        <f t="shared" si="5"/>
        <v>0.3</v>
      </c>
      <c r="M37" s="16">
        <f t="shared" si="5"/>
        <v>0.3</v>
      </c>
      <c r="N37" s="16">
        <f t="shared" si="5"/>
        <v>0.3</v>
      </c>
      <c r="O37" s="16">
        <f t="shared" si="5"/>
        <v>0.3</v>
      </c>
      <c r="P37" s="16">
        <f t="shared" si="5"/>
        <v>0.3</v>
      </c>
      <c r="Q37" s="16">
        <f t="shared" si="5"/>
        <v>0.3</v>
      </c>
      <c r="R37" s="16">
        <f t="shared" si="5"/>
        <v>0.3</v>
      </c>
      <c r="S37" s="16">
        <f t="shared" si="4"/>
        <v>0.3</v>
      </c>
      <c r="T37" s="16">
        <f t="shared" si="4"/>
        <v>0.3</v>
      </c>
      <c r="U37" s="16">
        <f t="shared" si="4"/>
        <v>0.3</v>
      </c>
      <c r="V37" s="16">
        <f t="shared" si="4"/>
        <v>0.3</v>
      </c>
      <c r="W37" s="16">
        <f t="shared" si="3"/>
        <v>0.3</v>
      </c>
      <c r="X37" s="16">
        <f t="shared" si="3"/>
        <v>0.3</v>
      </c>
      <c r="Y37" s="16">
        <f t="shared" si="3"/>
        <v>0.3</v>
      </c>
      <c r="Z37" s="16">
        <f t="shared" si="3"/>
        <v>0.3</v>
      </c>
    </row>
    <row r="38" spans="3:26" x14ac:dyDescent="0.25">
      <c r="C38" s="16">
        <f t="shared" si="5"/>
        <v>0.3</v>
      </c>
      <c r="D38" s="16">
        <f t="shared" si="5"/>
        <v>0.3</v>
      </c>
      <c r="E38" s="16">
        <f t="shared" si="5"/>
        <v>0.3</v>
      </c>
      <c r="F38" s="16">
        <f t="shared" si="5"/>
        <v>0.3</v>
      </c>
      <c r="G38" s="16">
        <f t="shared" si="5"/>
        <v>0.3</v>
      </c>
      <c r="H38" s="16">
        <f t="shared" si="5"/>
        <v>0.3</v>
      </c>
      <c r="I38" s="16">
        <f t="shared" si="5"/>
        <v>0.3</v>
      </c>
      <c r="J38" s="16">
        <f t="shared" si="5"/>
        <v>0.3</v>
      </c>
      <c r="K38" s="16">
        <f t="shared" si="5"/>
        <v>0.3</v>
      </c>
      <c r="L38" s="16">
        <f t="shared" si="5"/>
        <v>0.3</v>
      </c>
      <c r="M38" s="16">
        <f t="shared" si="5"/>
        <v>0.3</v>
      </c>
      <c r="N38" s="16">
        <f t="shared" si="5"/>
        <v>0.3</v>
      </c>
      <c r="O38" s="16">
        <f t="shared" si="5"/>
        <v>0.3</v>
      </c>
      <c r="P38" s="16">
        <f t="shared" si="5"/>
        <v>0.3</v>
      </c>
      <c r="Q38" s="16">
        <f t="shared" si="5"/>
        <v>0.3</v>
      </c>
      <c r="R38" s="16">
        <f t="shared" si="5"/>
        <v>0.3</v>
      </c>
      <c r="S38" s="16">
        <f t="shared" si="4"/>
        <v>0.3</v>
      </c>
      <c r="T38" s="16">
        <f t="shared" si="4"/>
        <v>0.3</v>
      </c>
      <c r="U38" s="16">
        <f t="shared" si="4"/>
        <v>0.3</v>
      </c>
      <c r="V38" s="16">
        <f t="shared" si="4"/>
        <v>0.3</v>
      </c>
      <c r="W38" s="16">
        <f t="shared" si="3"/>
        <v>0.3</v>
      </c>
      <c r="X38" s="16">
        <f t="shared" si="3"/>
        <v>0.3</v>
      </c>
      <c r="Y38" s="16">
        <f t="shared" si="3"/>
        <v>0.3</v>
      </c>
      <c r="Z38" s="16">
        <f t="shared" si="3"/>
        <v>0.3</v>
      </c>
    </row>
    <row r="39" spans="3:26" x14ac:dyDescent="0.25">
      <c r="C39" s="16">
        <f t="shared" si="5"/>
        <v>0.3</v>
      </c>
      <c r="D39" s="16">
        <f t="shared" si="5"/>
        <v>0.3</v>
      </c>
      <c r="E39" s="16">
        <f t="shared" si="5"/>
        <v>0.3</v>
      </c>
      <c r="F39" s="16">
        <f t="shared" si="5"/>
        <v>0.3</v>
      </c>
      <c r="G39" s="16">
        <f t="shared" si="5"/>
        <v>0.3</v>
      </c>
      <c r="H39" s="16">
        <f t="shared" si="5"/>
        <v>0.3</v>
      </c>
      <c r="I39" s="16">
        <f t="shared" si="5"/>
        <v>0.3</v>
      </c>
      <c r="J39" s="16">
        <f t="shared" si="5"/>
        <v>0.3</v>
      </c>
      <c r="K39" s="16">
        <f t="shared" si="5"/>
        <v>0.3</v>
      </c>
      <c r="L39" s="16">
        <f t="shared" si="5"/>
        <v>0.3</v>
      </c>
      <c r="M39" s="16">
        <f t="shared" si="5"/>
        <v>0.3</v>
      </c>
      <c r="N39" s="16">
        <f t="shared" si="5"/>
        <v>0.3</v>
      </c>
      <c r="O39" s="16">
        <f t="shared" si="5"/>
        <v>0.3</v>
      </c>
      <c r="P39" s="16">
        <f t="shared" si="5"/>
        <v>0.3</v>
      </c>
      <c r="Q39" s="16">
        <f t="shared" si="5"/>
        <v>0.3</v>
      </c>
      <c r="R39" s="16">
        <f t="shared" si="5"/>
        <v>0.3</v>
      </c>
      <c r="S39" s="16">
        <f t="shared" si="4"/>
        <v>0.3</v>
      </c>
      <c r="T39" s="16">
        <f t="shared" si="4"/>
        <v>0.3</v>
      </c>
      <c r="U39" s="16">
        <f t="shared" si="4"/>
        <v>0.3</v>
      </c>
      <c r="V39" s="16">
        <f t="shared" si="4"/>
        <v>0.3</v>
      </c>
      <c r="W39" s="16">
        <f t="shared" si="3"/>
        <v>0.3</v>
      </c>
      <c r="X39" s="16">
        <f t="shared" si="3"/>
        <v>0.3</v>
      </c>
      <c r="Y39" s="16">
        <f t="shared" si="3"/>
        <v>0.3</v>
      </c>
      <c r="Z39" s="16">
        <f t="shared" si="3"/>
        <v>0.3</v>
      </c>
    </row>
    <row r="40" spans="3:26" x14ac:dyDescent="0.25">
      <c r="C40" s="16">
        <f t="shared" si="5"/>
        <v>0.3</v>
      </c>
      <c r="D40" s="16">
        <f t="shared" si="5"/>
        <v>0.3</v>
      </c>
      <c r="E40" s="16">
        <f t="shared" si="5"/>
        <v>0.3</v>
      </c>
      <c r="F40" s="16">
        <f t="shared" si="5"/>
        <v>0.3</v>
      </c>
      <c r="G40" s="16">
        <f t="shared" si="5"/>
        <v>0.3</v>
      </c>
      <c r="H40" s="16">
        <f t="shared" si="5"/>
        <v>0.3</v>
      </c>
      <c r="I40" s="16">
        <f t="shared" si="5"/>
        <v>0.3</v>
      </c>
      <c r="J40" s="16">
        <f t="shared" si="5"/>
        <v>0.3</v>
      </c>
      <c r="K40" s="16">
        <f t="shared" si="5"/>
        <v>0.3</v>
      </c>
      <c r="L40" s="16">
        <f t="shared" si="5"/>
        <v>0.3</v>
      </c>
      <c r="M40" s="16">
        <f t="shared" si="5"/>
        <v>0.3</v>
      </c>
      <c r="N40" s="16">
        <f t="shared" si="5"/>
        <v>0.3</v>
      </c>
      <c r="O40" s="16">
        <f t="shared" si="5"/>
        <v>0.3</v>
      </c>
      <c r="P40" s="16">
        <f t="shared" si="5"/>
        <v>0.3</v>
      </c>
      <c r="Q40" s="16">
        <f t="shared" si="5"/>
        <v>0.3</v>
      </c>
      <c r="R40" s="16">
        <f t="shared" si="5"/>
        <v>0.3</v>
      </c>
      <c r="S40" s="16">
        <f t="shared" si="4"/>
        <v>0.3</v>
      </c>
      <c r="T40" s="16">
        <f t="shared" si="4"/>
        <v>0.3</v>
      </c>
      <c r="U40" s="16">
        <f t="shared" si="4"/>
        <v>0.3</v>
      </c>
      <c r="V40" s="16">
        <f t="shared" si="4"/>
        <v>0.3</v>
      </c>
      <c r="W40" s="16">
        <f t="shared" si="3"/>
        <v>0.3</v>
      </c>
      <c r="X40" s="16">
        <f t="shared" si="3"/>
        <v>0.3</v>
      </c>
      <c r="Y40" s="16">
        <f t="shared" si="3"/>
        <v>0.3</v>
      </c>
      <c r="Z40" s="16">
        <f t="shared" si="3"/>
        <v>0.3</v>
      </c>
    </row>
    <row r="41" spans="3:26" x14ac:dyDescent="0.25">
      <c r="C41" s="16">
        <f t="shared" si="5"/>
        <v>0.3</v>
      </c>
      <c r="D41" s="16">
        <f t="shared" si="5"/>
        <v>0.3</v>
      </c>
      <c r="E41" s="16">
        <f t="shared" si="5"/>
        <v>0.3</v>
      </c>
      <c r="F41" s="16">
        <f t="shared" si="5"/>
        <v>0.3</v>
      </c>
      <c r="G41" s="16">
        <f t="shared" si="5"/>
        <v>0.3</v>
      </c>
      <c r="H41" s="16">
        <f t="shared" si="5"/>
        <v>0.3</v>
      </c>
      <c r="I41" s="16">
        <f t="shared" si="5"/>
        <v>0.3</v>
      </c>
      <c r="J41" s="16">
        <f t="shared" si="5"/>
        <v>0.3</v>
      </c>
      <c r="K41" s="16">
        <f t="shared" si="5"/>
        <v>0.3</v>
      </c>
      <c r="L41" s="16">
        <f t="shared" si="5"/>
        <v>0.3</v>
      </c>
      <c r="M41" s="16">
        <f t="shared" si="5"/>
        <v>0.3</v>
      </c>
      <c r="N41" s="16">
        <f t="shared" si="5"/>
        <v>0.3</v>
      </c>
      <c r="O41" s="16">
        <f t="shared" si="5"/>
        <v>0.3</v>
      </c>
      <c r="P41" s="16">
        <f t="shared" si="5"/>
        <v>0.3</v>
      </c>
      <c r="Q41" s="16">
        <f t="shared" si="5"/>
        <v>0.3</v>
      </c>
      <c r="R41" s="16">
        <f t="shared" si="5"/>
        <v>0.3</v>
      </c>
      <c r="S41" s="16">
        <f t="shared" si="4"/>
        <v>0.3</v>
      </c>
      <c r="T41" s="16">
        <f t="shared" si="4"/>
        <v>0.3</v>
      </c>
      <c r="U41" s="16">
        <f t="shared" si="4"/>
        <v>0.3</v>
      </c>
      <c r="V41" s="16">
        <f t="shared" si="4"/>
        <v>0.3</v>
      </c>
      <c r="W41" s="16">
        <f t="shared" si="3"/>
        <v>0.3</v>
      </c>
      <c r="X41" s="16">
        <f t="shared" si="3"/>
        <v>0.3</v>
      </c>
      <c r="Y41" s="16">
        <f t="shared" si="3"/>
        <v>0.3</v>
      </c>
      <c r="Z41" s="16">
        <f t="shared" si="3"/>
        <v>0.3</v>
      </c>
    </row>
    <row r="42" spans="3:26" x14ac:dyDescent="0.25">
      <c r="C42" s="16">
        <f t="shared" si="5"/>
        <v>0.3</v>
      </c>
      <c r="D42" s="16">
        <f t="shared" si="5"/>
        <v>0.3</v>
      </c>
      <c r="E42" s="16">
        <f t="shared" si="5"/>
        <v>0.3</v>
      </c>
      <c r="F42" s="16">
        <f t="shared" si="5"/>
        <v>0.3</v>
      </c>
      <c r="G42" s="16">
        <f t="shared" si="5"/>
        <v>0.3</v>
      </c>
      <c r="H42" s="16">
        <f t="shared" si="5"/>
        <v>0.3</v>
      </c>
      <c r="I42" s="16">
        <f t="shared" si="5"/>
        <v>0.3</v>
      </c>
      <c r="J42" s="16">
        <f t="shared" si="5"/>
        <v>0.3</v>
      </c>
      <c r="K42" s="16">
        <f t="shared" si="5"/>
        <v>0.3</v>
      </c>
      <c r="L42" s="16">
        <f t="shared" si="5"/>
        <v>0.3</v>
      </c>
      <c r="M42" s="16">
        <f t="shared" si="5"/>
        <v>0.3</v>
      </c>
      <c r="N42" s="16">
        <f t="shared" si="5"/>
        <v>0.3</v>
      </c>
      <c r="O42" s="16">
        <f t="shared" si="5"/>
        <v>0.3</v>
      </c>
      <c r="P42" s="16">
        <f t="shared" si="5"/>
        <v>0.3</v>
      </c>
      <c r="Q42" s="16">
        <f t="shared" si="5"/>
        <v>0.3</v>
      </c>
      <c r="R42" s="16">
        <f t="shared" si="5"/>
        <v>0.3</v>
      </c>
      <c r="S42" s="16">
        <f t="shared" si="4"/>
        <v>0.3</v>
      </c>
      <c r="T42" s="16">
        <f t="shared" si="4"/>
        <v>0.3</v>
      </c>
      <c r="U42" s="16">
        <f t="shared" si="4"/>
        <v>0.3</v>
      </c>
      <c r="V42" s="16">
        <f t="shared" si="4"/>
        <v>0.3</v>
      </c>
      <c r="W42" s="16">
        <f t="shared" si="3"/>
        <v>0.3</v>
      </c>
      <c r="X42" s="16">
        <f t="shared" si="3"/>
        <v>0.3</v>
      </c>
      <c r="Y42" s="16">
        <f t="shared" si="3"/>
        <v>0.3</v>
      </c>
      <c r="Z42" s="16">
        <f t="shared" si="3"/>
        <v>0.3</v>
      </c>
    </row>
    <row r="43" spans="3:26" x14ac:dyDescent="0.25">
      <c r="C43" s="16">
        <f t="shared" si="5"/>
        <v>0.3</v>
      </c>
      <c r="D43" s="16">
        <f t="shared" si="5"/>
        <v>0.3</v>
      </c>
      <c r="E43" s="16">
        <f t="shared" si="5"/>
        <v>0.3</v>
      </c>
      <c r="F43" s="16">
        <f t="shared" si="5"/>
        <v>0.3</v>
      </c>
      <c r="G43" s="16">
        <f t="shared" si="5"/>
        <v>0.3</v>
      </c>
      <c r="H43" s="16">
        <f t="shared" si="5"/>
        <v>0.3</v>
      </c>
      <c r="I43" s="16">
        <f t="shared" si="5"/>
        <v>0.3</v>
      </c>
      <c r="J43" s="16">
        <f t="shared" si="5"/>
        <v>0.3</v>
      </c>
      <c r="K43" s="16">
        <f t="shared" si="5"/>
        <v>0.3</v>
      </c>
      <c r="L43" s="16">
        <f t="shared" si="5"/>
        <v>0.3</v>
      </c>
      <c r="M43" s="16">
        <f t="shared" si="5"/>
        <v>0.3</v>
      </c>
      <c r="N43" s="16">
        <f t="shared" si="5"/>
        <v>0.3</v>
      </c>
      <c r="O43" s="16">
        <f t="shared" si="5"/>
        <v>0.3</v>
      </c>
      <c r="P43" s="16">
        <f t="shared" si="5"/>
        <v>0.3</v>
      </c>
      <c r="Q43" s="16">
        <f t="shared" si="5"/>
        <v>0.3</v>
      </c>
      <c r="R43" s="16">
        <f t="shared" si="5"/>
        <v>0.3</v>
      </c>
      <c r="S43" s="16">
        <f t="shared" si="4"/>
        <v>0.3</v>
      </c>
      <c r="T43" s="16">
        <f t="shared" si="4"/>
        <v>0.3</v>
      </c>
      <c r="U43" s="16">
        <f t="shared" si="4"/>
        <v>0.3</v>
      </c>
      <c r="V43" s="16">
        <f t="shared" si="4"/>
        <v>0.3</v>
      </c>
      <c r="W43" s="16">
        <f t="shared" si="3"/>
        <v>0.3</v>
      </c>
      <c r="X43" s="16">
        <f t="shared" si="3"/>
        <v>0.3</v>
      </c>
      <c r="Y43" s="16">
        <f t="shared" si="3"/>
        <v>0.3</v>
      </c>
      <c r="Z43" s="16">
        <f t="shared" si="3"/>
        <v>0.3</v>
      </c>
    </row>
    <row r="44" spans="3:26" x14ac:dyDescent="0.25">
      <c r="C44" s="16">
        <f t="shared" si="5"/>
        <v>0.3</v>
      </c>
      <c r="D44" s="16">
        <f t="shared" si="5"/>
        <v>0.3</v>
      </c>
      <c r="E44" s="16">
        <f t="shared" si="5"/>
        <v>0.3</v>
      </c>
      <c r="F44" s="16">
        <f t="shared" si="5"/>
        <v>0.3</v>
      </c>
      <c r="G44" s="16">
        <f t="shared" si="5"/>
        <v>0.3</v>
      </c>
      <c r="H44" s="16">
        <f t="shared" si="5"/>
        <v>0.3</v>
      </c>
      <c r="I44" s="16">
        <f t="shared" si="5"/>
        <v>0.3</v>
      </c>
      <c r="J44" s="16">
        <f t="shared" si="5"/>
        <v>0.3</v>
      </c>
      <c r="K44" s="16">
        <f t="shared" si="5"/>
        <v>0.3</v>
      </c>
      <c r="L44" s="16">
        <f t="shared" si="5"/>
        <v>0.3</v>
      </c>
      <c r="M44" s="16">
        <f t="shared" si="5"/>
        <v>0.3</v>
      </c>
      <c r="N44" s="16">
        <f t="shared" si="5"/>
        <v>0.3</v>
      </c>
      <c r="O44" s="16">
        <f t="shared" si="5"/>
        <v>0.3</v>
      </c>
      <c r="P44" s="16">
        <f t="shared" si="5"/>
        <v>0.3</v>
      </c>
      <c r="Q44" s="16">
        <f t="shared" si="5"/>
        <v>0.3</v>
      </c>
      <c r="R44" s="16">
        <f t="shared" si="5"/>
        <v>0.3</v>
      </c>
      <c r="S44" s="16">
        <f t="shared" si="4"/>
        <v>0.3</v>
      </c>
      <c r="T44" s="16">
        <f t="shared" si="4"/>
        <v>0.3</v>
      </c>
      <c r="U44" s="16">
        <f t="shared" si="4"/>
        <v>0.3</v>
      </c>
      <c r="V44" s="16">
        <f t="shared" si="4"/>
        <v>0.3</v>
      </c>
      <c r="W44" s="16">
        <f t="shared" si="3"/>
        <v>0.3</v>
      </c>
      <c r="X44" s="16">
        <f t="shared" si="3"/>
        <v>0.3</v>
      </c>
      <c r="Y44" s="16">
        <f t="shared" si="3"/>
        <v>0.3</v>
      </c>
      <c r="Z44" s="16">
        <f t="shared" si="3"/>
        <v>0.3</v>
      </c>
    </row>
    <row r="45" spans="3:26" x14ac:dyDescent="0.25">
      <c r="C45" s="16">
        <f t="shared" si="5"/>
        <v>0.3</v>
      </c>
      <c r="D45" s="16">
        <f t="shared" si="5"/>
        <v>0.3</v>
      </c>
      <c r="E45" s="16">
        <f t="shared" si="5"/>
        <v>0.3</v>
      </c>
      <c r="F45" s="16">
        <f t="shared" si="5"/>
        <v>0.3</v>
      </c>
      <c r="G45" s="16">
        <f t="shared" si="5"/>
        <v>0.3</v>
      </c>
      <c r="H45" s="16">
        <f t="shared" si="5"/>
        <v>0.3</v>
      </c>
      <c r="I45" s="16">
        <f t="shared" si="5"/>
        <v>0.3</v>
      </c>
      <c r="J45" s="16">
        <f t="shared" si="5"/>
        <v>0.3</v>
      </c>
      <c r="K45" s="16">
        <f t="shared" si="5"/>
        <v>0.3</v>
      </c>
      <c r="L45" s="16">
        <f t="shared" si="5"/>
        <v>0.3</v>
      </c>
      <c r="M45" s="16">
        <f t="shared" si="5"/>
        <v>0.3</v>
      </c>
      <c r="N45" s="16">
        <f t="shared" si="5"/>
        <v>0.3</v>
      </c>
      <c r="O45" s="16">
        <f t="shared" si="5"/>
        <v>0.3</v>
      </c>
      <c r="P45" s="16">
        <f t="shared" si="5"/>
        <v>0.3</v>
      </c>
      <c r="Q45" s="16">
        <f t="shared" si="5"/>
        <v>0.3</v>
      </c>
      <c r="R45" s="16">
        <f t="shared" si="5"/>
        <v>0.3</v>
      </c>
      <c r="S45" s="16">
        <f t="shared" si="4"/>
        <v>0.3</v>
      </c>
      <c r="T45" s="16">
        <f t="shared" si="4"/>
        <v>0.3</v>
      </c>
      <c r="U45" s="16">
        <f t="shared" si="4"/>
        <v>0.3</v>
      </c>
      <c r="V45" s="16">
        <f t="shared" si="4"/>
        <v>0.3</v>
      </c>
      <c r="W45" s="16">
        <f t="shared" si="3"/>
        <v>0.3</v>
      </c>
      <c r="X45" s="16">
        <f t="shared" si="3"/>
        <v>0.3</v>
      </c>
      <c r="Y45" s="16">
        <f t="shared" si="3"/>
        <v>0.3</v>
      </c>
      <c r="Z45" s="16">
        <f t="shared" si="3"/>
        <v>0.3</v>
      </c>
    </row>
    <row r="46" spans="3:26" x14ac:dyDescent="0.25">
      <c r="C46" s="16">
        <f t="shared" si="5"/>
        <v>0.3</v>
      </c>
      <c r="D46" s="16">
        <f t="shared" si="5"/>
        <v>0.3</v>
      </c>
      <c r="E46" s="16">
        <f t="shared" si="5"/>
        <v>0.3</v>
      </c>
      <c r="F46" s="16">
        <f t="shared" si="5"/>
        <v>0.3</v>
      </c>
      <c r="G46" s="16">
        <f t="shared" si="5"/>
        <v>0.3</v>
      </c>
      <c r="H46" s="16">
        <f t="shared" si="5"/>
        <v>0.3</v>
      </c>
      <c r="I46" s="16">
        <f t="shared" si="5"/>
        <v>0.3</v>
      </c>
      <c r="J46" s="16">
        <f t="shared" si="5"/>
        <v>0.3</v>
      </c>
      <c r="K46" s="16">
        <f t="shared" si="5"/>
        <v>0.3</v>
      </c>
      <c r="L46" s="16">
        <f t="shared" si="5"/>
        <v>0.3</v>
      </c>
      <c r="M46" s="16">
        <f t="shared" si="5"/>
        <v>0.3</v>
      </c>
      <c r="N46" s="16">
        <f t="shared" si="5"/>
        <v>0.3</v>
      </c>
      <c r="O46" s="16">
        <f t="shared" si="5"/>
        <v>0.3</v>
      </c>
      <c r="P46" s="16">
        <f t="shared" si="5"/>
        <v>0.3</v>
      </c>
      <c r="Q46" s="16">
        <f t="shared" si="5"/>
        <v>0.3</v>
      </c>
      <c r="R46" s="16">
        <f t="shared" si="5"/>
        <v>0.3</v>
      </c>
      <c r="S46" s="16">
        <f t="shared" si="4"/>
        <v>0.3</v>
      </c>
      <c r="T46" s="16">
        <f t="shared" si="4"/>
        <v>0.3</v>
      </c>
      <c r="U46" s="16">
        <f t="shared" si="4"/>
        <v>0.3</v>
      </c>
      <c r="V46" s="16">
        <f t="shared" si="4"/>
        <v>0.3</v>
      </c>
      <c r="W46" s="16">
        <f t="shared" si="3"/>
        <v>0.3</v>
      </c>
      <c r="X46" s="16">
        <f t="shared" si="3"/>
        <v>0.3</v>
      </c>
      <c r="Y46" s="16">
        <f t="shared" si="3"/>
        <v>0.3</v>
      </c>
      <c r="Z46" s="16">
        <f t="shared" si="3"/>
        <v>0.3</v>
      </c>
    </row>
    <row r="47" spans="3:26" x14ac:dyDescent="0.25">
      <c r="C47" s="16">
        <f t="shared" si="5"/>
        <v>0.3</v>
      </c>
      <c r="D47" s="16">
        <f t="shared" si="5"/>
        <v>0.3</v>
      </c>
      <c r="E47" s="16">
        <f t="shared" si="5"/>
        <v>0.3</v>
      </c>
      <c r="F47" s="16">
        <f t="shared" si="5"/>
        <v>0.3</v>
      </c>
      <c r="G47" s="16">
        <f t="shared" si="5"/>
        <v>0.3</v>
      </c>
      <c r="H47" s="16">
        <f t="shared" si="5"/>
        <v>0.3</v>
      </c>
      <c r="I47" s="16">
        <f t="shared" si="5"/>
        <v>0.3</v>
      </c>
      <c r="J47" s="16">
        <f t="shared" si="5"/>
        <v>0.3</v>
      </c>
      <c r="K47" s="16">
        <f t="shared" si="5"/>
        <v>0.3</v>
      </c>
      <c r="L47" s="16">
        <f t="shared" si="5"/>
        <v>0.3</v>
      </c>
      <c r="M47" s="16">
        <f t="shared" si="5"/>
        <v>0.3</v>
      </c>
      <c r="N47" s="16">
        <f t="shared" si="5"/>
        <v>0.3</v>
      </c>
      <c r="O47" s="16">
        <f t="shared" si="5"/>
        <v>0.3</v>
      </c>
      <c r="P47" s="16">
        <f t="shared" si="5"/>
        <v>0.3</v>
      </c>
      <c r="Q47" s="16">
        <f t="shared" si="5"/>
        <v>0.3</v>
      </c>
      <c r="R47" s="16">
        <f t="shared" si="5"/>
        <v>0.3</v>
      </c>
      <c r="S47" s="16">
        <f t="shared" si="4"/>
        <v>0.3</v>
      </c>
      <c r="T47" s="16">
        <f t="shared" si="4"/>
        <v>0.3</v>
      </c>
      <c r="U47" s="16">
        <f t="shared" si="4"/>
        <v>0.3</v>
      </c>
      <c r="V47" s="16">
        <f t="shared" si="4"/>
        <v>0.3</v>
      </c>
      <c r="W47" s="16">
        <f t="shared" si="3"/>
        <v>0.3</v>
      </c>
      <c r="X47" s="16">
        <f t="shared" si="3"/>
        <v>0.3</v>
      </c>
      <c r="Y47" s="16">
        <f t="shared" si="3"/>
        <v>0.3</v>
      </c>
      <c r="Z47" s="16">
        <f t="shared" si="3"/>
        <v>0.3</v>
      </c>
    </row>
    <row r="48" spans="3:26" x14ac:dyDescent="0.25">
      <c r="C48" s="16">
        <f t="shared" si="5"/>
        <v>0.3</v>
      </c>
      <c r="D48" s="16">
        <f t="shared" si="5"/>
        <v>0.3</v>
      </c>
      <c r="E48" s="16">
        <f t="shared" si="5"/>
        <v>0.3</v>
      </c>
      <c r="F48" s="16">
        <f t="shared" si="5"/>
        <v>0.3</v>
      </c>
      <c r="G48" s="16">
        <f t="shared" si="5"/>
        <v>0.3</v>
      </c>
      <c r="H48" s="16">
        <f t="shared" si="5"/>
        <v>0.3</v>
      </c>
      <c r="I48" s="16">
        <f t="shared" si="5"/>
        <v>0.3</v>
      </c>
      <c r="J48" s="16">
        <f t="shared" si="5"/>
        <v>0.3</v>
      </c>
      <c r="K48" s="16">
        <f t="shared" si="5"/>
        <v>0.3</v>
      </c>
      <c r="L48" s="16">
        <f t="shared" si="5"/>
        <v>0.3</v>
      </c>
      <c r="M48" s="16">
        <f t="shared" si="5"/>
        <v>0.3</v>
      </c>
      <c r="N48" s="16">
        <f t="shared" si="5"/>
        <v>0.3</v>
      </c>
      <c r="O48" s="16">
        <f t="shared" si="5"/>
        <v>0.3</v>
      </c>
      <c r="P48" s="16">
        <f t="shared" si="5"/>
        <v>0.3</v>
      </c>
      <c r="Q48" s="16">
        <f t="shared" si="5"/>
        <v>0.3</v>
      </c>
      <c r="R48" s="16">
        <f t="shared" ref="R48:Z63" si="6">$B$6</f>
        <v>0.3</v>
      </c>
      <c r="S48" s="16">
        <f t="shared" si="6"/>
        <v>0.3</v>
      </c>
      <c r="T48" s="16">
        <f t="shared" si="6"/>
        <v>0.3</v>
      </c>
      <c r="U48" s="16">
        <f t="shared" si="6"/>
        <v>0.3</v>
      </c>
      <c r="V48" s="16">
        <f t="shared" si="6"/>
        <v>0.3</v>
      </c>
      <c r="W48" s="16">
        <f t="shared" si="6"/>
        <v>0.3</v>
      </c>
      <c r="X48" s="16">
        <f t="shared" si="6"/>
        <v>0.3</v>
      </c>
      <c r="Y48" s="16">
        <f t="shared" si="6"/>
        <v>0.3</v>
      </c>
      <c r="Z48" s="16">
        <f t="shared" si="6"/>
        <v>0.3</v>
      </c>
    </row>
    <row r="49" spans="3:26" x14ac:dyDescent="0.25">
      <c r="C49" s="16">
        <f t="shared" ref="C49:R64" si="7">$B$6</f>
        <v>0.3</v>
      </c>
      <c r="D49" s="16">
        <f t="shared" si="7"/>
        <v>0.3</v>
      </c>
      <c r="E49" s="16">
        <f t="shared" si="7"/>
        <v>0.3</v>
      </c>
      <c r="F49" s="16">
        <f t="shared" si="7"/>
        <v>0.3</v>
      </c>
      <c r="G49" s="16">
        <f t="shared" si="7"/>
        <v>0.3</v>
      </c>
      <c r="H49" s="16">
        <f t="shared" si="7"/>
        <v>0.3</v>
      </c>
      <c r="I49" s="16">
        <f t="shared" si="7"/>
        <v>0.3</v>
      </c>
      <c r="J49" s="16">
        <f t="shared" si="7"/>
        <v>0.3</v>
      </c>
      <c r="K49" s="16">
        <f t="shared" si="7"/>
        <v>0.3</v>
      </c>
      <c r="L49" s="16">
        <f t="shared" si="7"/>
        <v>0.3</v>
      </c>
      <c r="M49" s="16">
        <f t="shared" si="7"/>
        <v>0.3</v>
      </c>
      <c r="N49" s="16">
        <f t="shared" si="7"/>
        <v>0.3</v>
      </c>
      <c r="O49" s="16">
        <f t="shared" si="7"/>
        <v>0.3</v>
      </c>
      <c r="P49" s="16">
        <f t="shared" si="7"/>
        <v>0.3</v>
      </c>
      <c r="Q49" s="16">
        <f t="shared" si="7"/>
        <v>0.3</v>
      </c>
      <c r="R49" s="16">
        <f t="shared" si="7"/>
        <v>0.3</v>
      </c>
      <c r="S49" s="16">
        <f t="shared" si="6"/>
        <v>0.3</v>
      </c>
      <c r="T49" s="16">
        <f t="shared" si="6"/>
        <v>0.3</v>
      </c>
      <c r="U49" s="16">
        <f t="shared" si="6"/>
        <v>0.3</v>
      </c>
      <c r="V49" s="16">
        <f t="shared" si="6"/>
        <v>0.3</v>
      </c>
      <c r="W49" s="16">
        <f t="shared" si="6"/>
        <v>0.3</v>
      </c>
      <c r="X49" s="16">
        <f t="shared" si="6"/>
        <v>0.3</v>
      </c>
      <c r="Y49" s="16">
        <f t="shared" si="6"/>
        <v>0.3</v>
      </c>
      <c r="Z49" s="16">
        <f t="shared" si="6"/>
        <v>0.3</v>
      </c>
    </row>
    <row r="50" spans="3:26" x14ac:dyDescent="0.25">
      <c r="C50" s="16">
        <f t="shared" si="7"/>
        <v>0.3</v>
      </c>
      <c r="D50" s="16">
        <f t="shared" si="7"/>
        <v>0.3</v>
      </c>
      <c r="E50" s="16">
        <f t="shared" si="7"/>
        <v>0.3</v>
      </c>
      <c r="F50" s="16">
        <f t="shared" si="7"/>
        <v>0.3</v>
      </c>
      <c r="G50" s="16">
        <f t="shared" si="7"/>
        <v>0.3</v>
      </c>
      <c r="H50" s="16">
        <f t="shared" si="7"/>
        <v>0.3</v>
      </c>
      <c r="I50" s="16">
        <f t="shared" si="7"/>
        <v>0.3</v>
      </c>
      <c r="J50" s="16">
        <f t="shared" si="7"/>
        <v>0.3</v>
      </c>
      <c r="K50" s="16">
        <f t="shared" si="7"/>
        <v>0.3</v>
      </c>
      <c r="L50" s="16">
        <f t="shared" si="7"/>
        <v>0.3</v>
      </c>
      <c r="M50" s="16">
        <f t="shared" si="7"/>
        <v>0.3</v>
      </c>
      <c r="N50" s="16">
        <f t="shared" si="7"/>
        <v>0.3</v>
      </c>
      <c r="O50" s="16">
        <f t="shared" si="7"/>
        <v>0.3</v>
      </c>
      <c r="P50" s="16">
        <f t="shared" si="7"/>
        <v>0.3</v>
      </c>
      <c r="Q50" s="16">
        <f t="shared" si="7"/>
        <v>0.3</v>
      </c>
      <c r="R50" s="16">
        <f t="shared" si="7"/>
        <v>0.3</v>
      </c>
      <c r="S50" s="16">
        <f t="shared" si="6"/>
        <v>0.3</v>
      </c>
      <c r="T50" s="16">
        <f t="shared" si="6"/>
        <v>0.3</v>
      </c>
      <c r="U50" s="16">
        <f t="shared" si="6"/>
        <v>0.3</v>
      </c>
      <c r="V50" s="16">
        <f t="shared" si="6"/>
        <v>0.3</v>
      </c>
      <c r="W50" s="16">
        <f t="shared" si="6"/>
        <v>0.3</v>
      </c>
      <c r="X50" s="16">
        <f t="shared" si="6"/>
        <v>0.3</v>
      </c>
      <c r="Y50" s="16">
        <f t="shared" si="6"/>
        <v>0.3</v>
      </c>
      <c r="Z50" s="16">
        <f t="shared" si="6"/>
        <v>0.3</v>
      </c>
    </row>
    <row r="51" spans="3:26" x14ac:dyDescent="0.25">
      <c r="C51" s="16">
        <f t="shared" si="7"/>
        <v>0.3</v>
      </c>
      <c r="D51" s="16">
        <f t="shared" si="7"/>
        <v>0.3</v>
      </c>
      <c r="E51" s="16">
        <f t="shared" si="7"/>
        <v>0.3</v>
      </c>
      <c r="F51" s="16">
        <f t="shared" si="7"/>
        <v>0.3</v>
      </c>
      <c r="G51" s="16">
        <f t="shared" si="7"/>
        <v>0.3</v>
      </c>
      <c r="H51" s="16">
        <f t="shared" si="7"/>
        <v>0.3</v>
      </c>
      <c r="I51" s="16">
        <f t="shared" si="7"/>
        <v>0.3</v>
      </c>
      <c r="J51" s="16">
        <f t="shared" si="7"/>
        <v>0.3</v>
      </c>
      <c r="K51" s="16">
        <f t="shared" si="7"/>
        <v>0.3</v>
      </c>
      <c r="L51" s="16">
        <f t="shared" si="7"/>
        <v>0.3</v>
      </c>
      <c r="M51" s="16">
        <f t="shared" si="7"/>
        <v>0.3</v>
      </c>
      <c r="N51" s="16">
        <f t="shared" si="7"/>
        <v>0.3</v>
      </c>
      <c r="O51" s="16">
        <f t="shared" si="7"/>
        <v>0.3</v>
      </c>
      <c r="P51" s="16">
        <f t="shared" si="7"/>
        <v>0.3</v>
      </c>
      <c r="Q51" s="16">
        <f t="shared" si="7"/>
        <v>0.3</v>
      </c>
      <c r="R51" s="16">
        <f t="shared" si="7"/>
        <v>0.3</v>
      </c>
      <c r="S51" s="16">
        <f t="shared" si="6"/>
        <v>0.3</v>
      </c>
      <c r="T51" s="16">
        <f t="shared" si="6"/>
        <v>0.3</v>
      </c>
      <c r="U51" s="16">
        <f t="shared" si="6"/>
        <v>0.3</v>
      </c>
      <c r="V51" s="16">
        <f t="shared" si="6"/>
        <v>0.3</v>
      </c>
      <c r="W51" s="16">
        <f t="shared" si="6"/>
        <v>0.3</v>
      </c>
      <c r="X51" s="16">
        <f t="shared" si="6"/>
        <v>0.3</v>
      </c>
      <c r="Y51" s="16">
        <f t="shared" si="6"/>
        <v>0.3</v>
      </c>
      <c r="Z51" s="16">
        <f t="shared" si="6"/>
        <v>0.3</v>
      </c>
    </row>
    <row r="52" spans="3:26" x14ac:dyDescent="0.25">
      <c r="C52" s="16">
        <f t="shared" si="7"/>
        <v>0.3</v>
      </c>
      <c r="D52" s="16">
        <f t="shared" si="7"/>
        <v>0.3</v>
      </c>
      <c r="E52" s="16">
        <f t="shared" si="7"/>
        <v>0.3</v>
      </c>
      <c r="F52" s="16">
        <f t="shared" si="7"/>
        <v>0.3</v>
      </c>
      <c r="G52" s="16">
        <f t="shared" si="7"/>
        <v>0.3</v>
      </c>
      <c r="H52" s="16">
        <f t="shared" si="7"/>
        <v>0.3</v>
      </c>
      <c r="I52" s="16">
        <f t="shared" si="7"/>
        <v>0.3</v>
      </c>
      <c r="J52" s="16">
        <f t="shared" si="7"/>
        <v>0.3</v>
      </c>
      <c r="K52" s="16">
        <f t="shared" si="7"/>
        <v>0.3</v>
      </c>
      <c r="L52" s="16">
        <f t="shared" si="7"/>
        <v>0.3</v>
      </c>
      <c r="M52" s="16">
        <f t="shared" si="7"/>
        <v>0.3</v>
      </c>
      <c r="N52" s="16">
        <f t="shared" si="7"/>
        <v>0.3</v>
      </c>
      <c r="O52" s="16">
        <f t="shared" si="7"/>
        <v>0.3</v>
      </c>
      <c r="P52" s="16">
        <f t="shared" si="7"/>
        <v>0.3</v>
      </c>
      <c r="Q52" s="16">
        <f t="shared" si="7"/>
        <v>0.3</v>
      </c>
      <c r="R52" s="16">
        <f t="shared" si="7"/>
        <v>0.3</v>
      </c>
      <c r="S52" s="16">
        <f t="shared" si="6"/>
        <v>0.3</v>
      </c>
      <c r="T52" s="16">
        <f t="shared" si="6"/>
        <v>0.3</v>
      </c>
      <c r="U52" s="16">
        <f t="shared" si="6"/>
        <v>0.3</v>
      </c>
      <c r="V52" s="16">
        <f t="shared" si="6"/>
        <v>0.3</v>
      </c>
      <c r="W52" s="16">
        <f t="shared" si="6"/>
        <v>0.3</v>
      </c>
      <c r="X52" s="16">
        <f t="shared" si="6"/>
        <v>0.3</v>
      </c>
      <c r="Y52" s="16">
        <f t="shared" si="6"/>
        <v>0.3</v>
      </c>
      <c r="Z52" s="16">
        <f t="shared" si="6"/>
        <v>0.3</v>
      </c>
    </row>
    <row r="53" spans="3:26" x14ac:dyDescent="0.25">
      <c r="C53" s="16">
        <f t="shared" si="7"/>
        <v>0.3</v>
      </c>
      <c r="D53" s="16">
        <f t="shared" si="7"/>
        <v>0.3</v>
      </c>
      <c r="E53" s="16">
        <f t="shared" si="7"/>
        <v>0.3</v>
      </c>
      <c r="F53" s="16">
        <f t="shared" si="7"/>
        <v>0.3</v>
      </c>
      <c r="G53" s="16">
        <f t="shared" si="7"/>
        <v>0.3</v>
      </c>
      <c r="H53" s="16">
        <f t="shared" si="7"/>
        <v>0.3</v>
      </c>
      <c r="I53" s="16">
        <f t="shared" si="7"/>
        <v>0.3</v>
      </c>
      <c r="J53" s="16">
        <f t="shared" si="7"/>
        <v>0.3</v>
      </c>
      <c r="K53" s="16">
        <f t="shared" si="7"/>
        <v>0.3</v>
      </c>
      <c r="L53" s="16">
        <f t="shared" si="7"/>
        <v>0.3</v>
      </c>
      <c r="M53" s="16">
        <f t="shared" si="7"/>
        <v>0.3</v>
      </c>
      <c r="N53" s="16">
        <f t="shared" si="7"/>
        <v>0.3</v>
      </c>
      <c r="O53" s="16">
        <f t="shared" si="7"/>
        <v>0.3</v>
      </c>
      <c r="P53" s="16">
        <f t="shared" si="7"/>
        <v>0.3</v>
      </c>
      <c r="Q53" s="16">
        <f t="shared" si="7"/>
        <v>0.3</v>
      </c>
      <c r="R53" s="16">
        <f t="shared" si="7"/>
        <v>0.3</v>
      </c>
      <c r="S53" s="16">
        <f t="shared" si="6"/>
        <v>0.3</v>
      </c>
      <c r="T53" s="16">
        <f t="shared" si="6"/>
        <v>0.3</v>
      </c>
      <c r="U53" s="16">
        <f t="shared" si="6"/>
        <v>0.3</v>
      </c>
      <c r="V53" s="16">
        <f t="shared" si="6"/>
        <v>0.3</v>
      </c>
      <c r="W53" s="16">
        <f t="shared" si="6"/>
        <v>0.3</v>
      </c>
      <c r="X53" s="16">
        <f t="shared" si="6"/>
        <v>0.3</v>
      </c>
      <c r="Y53" s="16">
        <f t="shared" si="6"/>
        <v>0.3</v>
      </c>
      <c r="Z53" s="16">
        <f t="shared" si="6"/>
        <v>0.3</v>
      </c>
    </row>
    <row r="54" spans="3:26" x14ac:dyDescent="0.25">
      <c r="C54" s="16">
        <f t="shared" si="7"/>
        <v>0.3</v>
      </c>
      <c r="D54" s="16">
        <f t="shared" si="7"/>
        <v>0.3</v>
      </c>
      <c r="E54" s="16">
        <f t="shared" si="7"/>
        <v>0.3</v>
      </c>
      <c r="F54" s="16">
        <f t="shared" si="7"/>
        <v>0.3</v>
      </c>
      <c r="G54" s="16">
        <f t="shared" si="7"/>
        <v>0.3</v>
      </c>
      <c r="H54" s="16">
        <f t="shared" si="7"/>
        <v>0.3</v>
      </c>
      <c r="I54" s="16">
        <f t="shared" si="7"/>
        <v>0.3</v>
      </c>
      <c r="J54" s="16">
        <f t="shared" si="7"/>
        <v>0.3</v>
      </c>
      <c r="K54" s="16">
        <f t="shared" si="7"/>
        <v>0.3</v>
      </c>
      <c r="L54" s="16">
        <f t="shared" si="7"/>
        <v>0.3</v>
      </c>
      <c r="M54" s="16">
        <f t="shared" si="7"/>
        <v>0.3</v>
      </c>
      <c r="N54" s="16">
        <f t="shared" si="7"/>
        <v>0.3</v>
      </c>
      <c r="O54" s="16">
        <f t="shared" si="7"/>
        <v>0.3</v>
      </c>
      <c r="P54" s="16">
        <f t="shared" si="7"/>
        <v>0.3</v>
      </c>
      <c r="Q54" s="16">
        <f t="shared" si="7"/>
        <v>0.3</v>
      </c>
      <c r="R54" s="16">
        <f t="shared" si="7"/>
        <v>0.3</v>
      </c>
      <c r="S54" s="16">
        <f t="shared" si="6"/>
        <v>0.3</v>
      </c>
      <c r="T54" s="16">
        <f t="shared" si="6"/>
        <v>0.3</v>
      </c>
      <c r="U54" s="16">
        <f t="shared" si="6"/>
        <v>0.3</v>
      </c>
      <c r="V54" s="16">
        <f t="shared" si="6"/>
        <v>0.3</v>
      </c>
      <c r="W54" s="16">
        <f t="shared" si="6"/>
        <v>0.3</v>
      </c>
      <c r="X54" s="16">
        <f t="shared" si="6"/>
        <v>0.3</v>
      </c>
      <c r="Y54" s="16">
        <f t="shared" si="6"/>
        <v>0.3</v>
      </c>
      <c r="Z54" s="16">
        <f t="shared" si="6"/>
        <v>0.3</v>
      </c>
    </row>
    <row r="55" spans="3:26" x14ac:dyDescent="0.25">
      <c r="C55" s="16">
        <f t="shared" si="7"/>
        <v>0.3</v>
      </c>
      <c r="D55" s="16">
        <f t="shared" si="7"/>
        <v>0.3</v>
      </c>
      <c r="E55" s="16">
        <f t="shared" si="7"/>
        <v>0.3</v>
      </c>
      <c r="F55" s="16">
        <f t="shared" si="7"/>
        <v>0.3</v>
      </c>
      <c r="G55" s="16">
        <f t="shared" si="7"/>
        <v>0.3</v>
      </c>
      <c r="H55" s="16">
        <f t="shared" si="7"/>
        <v>0.3</v>
      </c>
      <c r="I55" s="16">
        <f t="shared" si="7"/>
        <v>0.3</v>
      </c>
      <c r="J55" s="16">
        <f t="shared" si="7"/>
        <v>0.3</v>
      </c>
      <c r="K55" s="16">
        <f t="shared" si="7"/>
        <v>0.3</v>
      </c>
      <c r="L55" s="16">
        <f t="shared" si="7"/>
        <v>0.3</v>
      </c>
      <c r="M55" s="16">
        <f t="shared" si="7"/>
        <v>0.3</v>
      </c>
      <c r="N55" s="16">
        <f t="shared" si="7"/>
        <v>0.3</v>
      </c>
      <c r="O55" s="16">
        <f t="shared" si="7"/>
        <v>0.3</v>
      </c>
      <c r="P55" s="16">
        <f t="shared" si="7"/>
        <v>0.3</v>
      </c>
      <c r="Q55" s="16">
        <f t="shared" si="7"/>
        <v>0.3</v>
      </c>
      <c r="R55" s="16">
        <f t="shared" si="7"/>
        <v>0.3</v>
      </c>
      <c r="S55" s="16">
        <f t="shared" si="6"/>
        <v>0.3</v>
      </c>
      <c r="T55" s="16">
        <f t="shared" si="6"/>
        <v>0.3</v>
      </c>
      <c r="U55" s="16">
        <f t="shared" si="6"/>
        <v>0.3</v>
      </c>
      <c r="V55" s="16">
        <f t="shared" si="6"/>
        <v>0.3</v>
      </c>
      <c r="W55" s="16">
        <f t="shared" si="6"/>
        <v>0.3</v>
      </c>
      <c r="X55" s="16">
        <f t="shared" si="6"/>
        <v>0.3</v>
      </c>
      <c r="Y55" s="16">
        <f t="shared" si="6"/>
        <v>0.3</v>
      </c>
      <c r="Z55" s="16">
        <f t="shared" si="6"/>
        <v>0.3</v>
      </c>
    </row>
    <row r="56" spans="3:26" x14ac:dyDescent="0.25">
      <c r="C56" s="16">
        <f t="shared" si="7"/>
        <v>0.3</v>
      </c>
      <c r="D56" s="16">
        <f t="shared" si="7"/>
        <v>0.3</v>
      </c>
      <c r="E56" s="16">
        <f t="shared" si="7"/>
        <v>0.3</v>
      </c>
      <c r="F56" s="16">
        <f t="shared" si="7"/>
        <v>0.3</v>
      </c>
      <c r="G56" s="16">
        <f t="shared" si="7"/>
        <v>0.3</v>
      </c>
      <c r="H56" s="16">
        <f t="shared" si="7"/>
        <v>0.3</v>
      </c>
      <c r="I56" s="16">
        <f t="shared" si="7"/>
        <v>0.3</v>
      </c>
      <c r="J56" s="16">
        <f t="shared" si="7"/>
        <v>0.3</v>
      </c>
      <c r="K56" s="16">
        <f t="shared" si="7"/>
        <v>0.3</v>
      </c>
      <c r="L56" s="16">
        <f t="shared" si="7"/>
        <v>0.3</v>
      </c>
      <c r="M56" s="16">
        <f t="shared" si="7"/>
        <v>0.3</v>
      </c>
      <c r="N56" s="16">
        <f t="shared" si="7"/>
        <v>0.3</v>
      </c>
      <c r="O56" s="16">
        <f t="shared" si="7"/>
        <v>0.3</v>
      </c>
      <c r="P56" s="16">
        <f t="shared" si="7"/>
        <v>0.3</v>
      </c>
      <c r="Q56" s="16">
        <f t="shared" si="7"/>
        <v>0.3</v>
      </c>
      <c r="R56" s="16">
        <f t="shared" si="7"/>
        <v>0.3</v>
      </c>
      <c r="S56" s="16">
        <f t="shared" si="6"/>
        <v>0.3</v>
      </c>
      <c r="T56" s="16">
        <f t="shared" si="6"/>
        <v>0.3</v>
      </c>
      <c r="U56" s="16">
        <f t="shared" si="6"/>
        <v>0.3</v>
      </c>
      <c r="V56" s="16">
        <f t="shared" si="6"/>
        <v>0.3</v>
      </c>
      <c r="W56" s="16">
        <f t="shared" si="6"/>
        <v>0.3</v>
      </c>
      <c r="X56" s="16">
        <f t="shared" si="6"/>
        <v>0.3</v>
      </c>
      <c r="Y56" s="16">
        <f t="shared" si="6"/>
        <v>0.3</v>
      </c>
      <c r="Z56" s="16">
        <f t="shared" si="6"/>
        <v>0.3</v>
      </c>
    </row>
    <row r="57" spans="3:26" x14ac:dyDescent="0.25">
      <c r="C57" s="16">
        <f t="shared" si="7"/>
        <v>0.3</v>
      </c>
      <c r="D57" s="16">
        <f t="shared" si="7"/>
        <v>0.3</v>
      </c>
      <c r="E57" s="16">
        <f t="shared" si="7"/>
        <v>0.3</v>
      </c>
      <c r="F57" s="16">
        <f t="shared" si="7"/>
        <v>0.3</v>
      </c>
      <c r="G57" s="16">
        <f t="shared" si="7"/>
        <v>0.3</v>
      </c>
      <c r="H57" s="16">
        <f t="shared" si="7"/>
        <v>0.3</v>
      </c>
      <c r="I57" s="16">
        <f t="shared" si="7"/>
        <v>0.3</v>
      </c>
      <c r="J57" s="16">
        <f t="shared" si="7"/>
        <v>0.3</v>
      </c>
      <c r="K57" s="16">
        <f t="shared" si="7"/>
        <v>0.3</v>
      </c>
      <c r="L57" s="16">
        <f t="shared" si="7"/>
        <v>0.3</v>
      </c>
      <c r="M57" s="16">
        <f t="shared" si="7"/>
        <v>0.3</v>
      </c>
      <c r="N57" s="16">
        <f t="shared" si="7"/>
        <v>0.3</v>
      </c>
      <c r="O57" s="16">
        <f t="shared" si="7"/>
        <v>0.3</v>
      </c>
      <c r="P57" s="16">
        <f t="shared" si="7"/>
        <v>0.3</v>
      </c>
      <c r="Q57" s="16">
        <f t="shared" si="7"/>
        <v>0.3</v>
      </c>
      <c r="R57" s="16">
        <f t="shared" si="7"/>
        <v>0.3</v>
      </c>
      <c r="S57" s="16">
        <f t="shared" si="6"/>
        <v>0.3</v>
      </c>
      <c r="T57" s="16">
        <f t="shared" si="6"/>
        <v>0.3</v>
      </c>
      <c r="U57" s="16">
        <f t="shared" si="6"/>
        <v>0.3</v>
      </c>
      <c r="V57" s="16">
        <f t="shared" si="6"/>
        <v>0.3</v>
      </c>
      <c r="W57" s="16">
        <f t="shared" si="6"/>
        <v>0.3</v>
      </c>
      <c r="X57" s="16">
        <f t="shared" si="6"/>
        <v>0.3</v>
      </c>
      <c r="Y57" s="16">
        <f t="shared" si="6"/>
        <v>0.3</v>
      </c>
      <c r="Z57" s="16">
        <f t="shared" si="6"/>
        <v>0.3</v>
      </c>
    </row>
    <row r="58" spans="3:26" x14ac:dyDescent="0.25">
      <c r="C58" s="16">
        <f t="shared" si="7"/>
        <v>0.3</v>
      </c>
      <c r="D58" s="16">
        <f t="shared" si="7"/>
        <v>0.3</v>
      </c>
      <c r="E58" s="16">
        <f t="shared" si="7"/>
        <v>0.3</v>
      </c>
      <c r="F58" s="16">
        <f t="shared" si="7"/>
        <v>0.3</v>
      </c>
      <c r="G58" s="16">
        <f t="shared" si="7"/>
        <v>0.3</v>
      </c>
      <c r="H58" s="16">
        <f t="shared" si="7"/>
        <v>0.3</v>
      </c>
      <c r="I58" s="16">
        <f t="shared" si="7"/>
        <v>0.3</v>
      </c>
      <c r="J58" s="16">
        <f t="shared" si="7"/>
        <v>0.3</v>
      </c>
      <c r="K58" s="16">
        <f t="shared" si="7"/>
        <v>0.3</v>
      </c>
      <c r="L58" s="16">
        <f t="shared" si="7"/>
        <v>0.3</v>
      </c>
      <c r="M58" s="16">
        <f t="shared" si="7"/>
        <v>0.3</v>
      </c>
      <c r="N58" s="16">
        <f t="shared" si="7"/>
        <v>0.3</v>
      </c>
      <c r="O58" s="16">
        <f t="shared" si="7"/>
        <v>0.3</v>
      </c>
      <c r="P58" s="16">
        <f t="shared" si="7"/>
        <v>0.3</v>
      </c>
      <c r="Q58" s="16">
        <f t="shared" si="7"/>
        <v>0.3</v>
      </c>
      <c r="R58" s="16">
        <f t="shared" si="7"/>
        <v>0.3</v>
      </c>
      <c r="S58" s="16">
        <f t="shared" si="6"/>
        <v>0.3</v>
      </c>
      <c r="T58" s="16">
        <f t="shared" si="6"/>
        <v>0.3</v>
      </c>
      <c r="U58" s="16">
        <f t="shared" si="6"/>
        <v>0.3</v>
      </c>
      <c r="V58" s="16">
        <f t="shared" si="6"/>
        <v>0.3</v>
      </c>
      <c r="W58" s="16">
        <f t="shared" si="6"/>
        <v>0.3</v>
      </c>
      <c r="X58" s="16">
        <f t="shared" si="6"/>
        <v>0.3</v>
      </c>
      <c r="Y58" s="16">
        <f t="shared" si="6"/>
        <v>0.3</v>
      </c>
      <c r="Z58" s="16">
        <f t="shared" si="6"/>
        <v>0.3</v>
      </c>
    </row>
    <row r="59" spans="3:26" x14ac:dyDescent="0.25">
      <c r="C59" s="16">
        <f t="shared" si="7"/>
        <v>0.3</v>
      </c>
      <c r="D59" s="16">
        <f t="shared" si="7"/>
        <v>0.3</v>
      </c>
      <c r="E59" s="16">
        <f t="shared" si="7"/>
        <v>0.3</v>
      </c>
      <c r="F59" s="16">
        <f t="shared" si="7"/>
        <v>0.3</v>
      </c>
      <c r="G59" s="16">
        <f t="shared" si="7"/>
        <v>0.3</v>
      </c>
      <c r="H59" s="16">
        <f t="shared" si="7"/>
        <v>0.3</v>
      </c>
      <c r="I59" s="16">
        <f t="shared" si="7"/>
        <v>0.3</v>
      </c>
      <c r="J59" s="16">
        <f t="shared" si="7"/>
        <v>0.3</v>
      </c>
      <c r="K59" s="16">
        <f t="shared" si="7"/>
        <v>0.3</v>
      </c>
      <c r="L59" s="16">
        <f t="shared" si="7"/>
        <v>0.3</v>
      </c>
      <c r="M59" s="16">
        <f t="shared" si="7"/>
        <v>0.3</v>
      </c>
      <c r="N59" s="16">
        <f t="shared" si="7"/>
        <v>0.3</v>
      </c>
      <c r="O59" s="16">
        <f t="shared" si="7"/>
        <v>0.3</v>
      </c>
      <c r="P59" s="16">
        <f t="shared" si="7"/>
        <v>0.3</v>
      </c>
      <c r="Q59" s="16">
        <f t="shared" si="7"/>
        <v>0.3</v>
      </c>
      <c r="R59" s="16">
        <f t="shared" si="7"/>
        <v>0.3</v>
      </c>
      <c r="S59" s="16">
        <f t="shared" si="6"/>
        <v>0.3</v>
      </c>
      <c r="T59" s="16">
        <f t="shared" si="6"/>
        <v>0.3</v>
      </c>
      <c r="U59" s="16">
        <f t="shared" si="6"/>
        <v>0.3</v>
      </c>
      <c r="V59" s="16">
        <f t="shared" si="6"/>
        <v>0.3</v>
      </c>
      <c r="W59" s="16">
        <f t="shared" si="6"/>
        <v>0.3</v>
      </c>
      <c r="X59" s="16">
        <f t="shared" si="6"/>
        <v>0.3</v>
      </c>
      <c r="Y59" s="16">
        <f t="shared" si="6"/>
        <v>0.3</v>
      </c>
      <c r="Z59" s="16">
        <f t="shared" si="6"/>
        <v>0.3</v>
      </c>
    </row>
    <row r="60" spans="3:26" x14ac:dyDescent="0.25">
      <c r="C60" s="16">
        <f t="shared" si="7"/>
        <v>0.3</v>
      </c>
      <c r="D60" s="16">
        <f t="shared" si="7"/>
        <v>0.3</v>
      </c>
      <c r="E60" s="16">
        <f t="shared" si="7"/>
        <v>0.3</v>
      </c>
      <c r="F60" s="16">
        <f t="shared" si="7"/>
        <v>0.3</v>
      </c>
      <c r="G60" s="16">
        <f t="shared" si="7"/>
        <v>0.3</v>
      </c>
      <c r="H60" s="16">
        <f t="shared" si="7"/>
        <v>0.3</v>
      </c>
      <c r="I60" s="16">
        <f t="shared" si="7"/>
        <v>0.3</v>
      </c>
      <c r="J60" s="16">
        <f t="shared" si="7"/>
        <v>0.3</v>
      </c>
      <c r="K60" s="16">
        <f t="shared" si="7"/>
        <v>0.3</v>
      </c>
      <c r="L60" s="16">
        <f t="shared" si="7"/>
        <v>0.3</v>
      </c>
      <c r="M60" s="16">
        <f t="shared" si="7"/>
        <v>0.3</v>
      </c>
      <c r="N60" s="16">
        <f t="shared" si="7"/>
        <v>0.3</v>
      </c>
      <c r="O60" s="16">
        <f t="shared" si="7"/>
        <v>0.3</v>
      </c>
      <c r="P60" s="16">
        <f t="shared" si="7"/>
        <v>0.3</v>
      </c>
      <c r="Q60" s="16">
        <f t="shared" si="7"/>
        <v>0.3</v>
      </c>
      <c r="R60" s="16">
        <f t="shared" si="7"/>
        <v>0.3</v>
      </c>
      <c r="S60" s="16">
        <f t="shared" si="6"/>
        <v>0.3</v>
      </c>
      <c r="T60" s="16">
        <f t="shared" si="6"/>
        <v>0.3</v>
      </c>
      <c r="U60" s="16">
        <f t="shared" si="6"/>
        <v>0.3</v>
      </c>
      <c r="V60" s="16">
        <f t="shared" si="6"/>
        <v>0.3</v>
      </c>
      <c r="W60" s="16">
        <f t="shared" si="6"/>
        <v>0.3</v>
      </c>
      <c r="X60" s="16">
        <f t="shared" si="6"/>
        <v>0.3</v>
      </c>
      <c r="Y60" s="16">
        <f t="shared" si="6"/>
        <v>0.3</v>
      </c>
      <c r="Z60" s="16">
        <f t="shared" si="6"/>
        <v>0.3</v>
      </c>
    </row>
    <row r="61" spans="3:26" x14ac:dyDescent="0.25">
      <c r="C61" s="16">
        <f t="shared" si="7"/>
        <v>0.3</v>
      </c>
      <c r="D61" s="16">
        <f t="shared" si="7"/>
        <v>0.3</v>
      </c>
      <c r="E61" s="16">
        <f t="shared" si="7"/>
        <v>0.3</v>
      </c>
      <c r="F61" s="16">
        <f t="shared" si="7"/>
        <v>0.3</v>
      </c>
      <c r="G61" s="16">
        <f t="shared" si="7"/>
        <v>0.3</v>
      </c>
      <c r="H61" s="16">
        <f t="shared" si="7"/>
        <v>0.3</v>
      </c>
      <c r="I61" s="16">
        <f t="shared" si="7"/>
        <v>0.3</v>
      </c>
      <c r="J61" s="16">
        <f t="shared" si="7"/>
        <v>0.3</v>
      </c>
      <c r="K61" s="16">
        <f t="shared" si="7"/>
        <v>0.3</v>
      </c>
      <c r="L61" s="16">
        <f t="shared" si="7"/>
        <v>0.3</v>
      </c>
      <c r="M61" s="16">
        <f t="shared" si="7"/>
        <v>0.3</v>
      </c>
      <c r="N61" s="16">
        <f t="shared" si="7"/>
        <v>0.3</v>
      </c>
      <c r="O61" s="16">
        <f t="shared" si="7"/>
        <v>0.3</v>
      </c>
      <c r="P61" s="16">
        <f t="shared" si="7"/>
        <v>0.3</v>
      </c>
      <c r="Q61" s="16">
        <f t="shared" si="7"/>
        <v>0.3</v>
      </c>
      <c r="R61" s="16">
        <f t="shared" si="7"/>
        <v>0.3</v>
      </c>
      <c r="S61" s="16">
        <f t="shared" si="6"/>
        <v>0.3</v>
      </c>
      <c r="T61" s="16">
        <f t="shared" si="6"/>
        <v>0.3</v>
      </c>
      <c r="U61" s="16">
        <f t="shared" si="6"/>
        <v>0.3</v>
      </c>
      <c r="V61" s="16">
        <f t="shared" si="6"/>
        <v>0.3</v>
      </c>
      <c r="W61" s="16">
        <f t="shared" si="6"/>
        <v>0.3</v>
      </c>
      <c r="X61" s="16">
        <f t="shared" si="6"/>
        <v>0.3</v>
      </c>
      <c r="Y61" s="16">
        <f t="shared" si="6"/>
        <v>0.3</v>
      </c>
      <c r="Z61" s="16">
        <f t="shared" si="6"/>
        <v>0.3</v>
      </c>
    </row>
    <row r="62" spans="3:26" x14ac:dyDescent="0.25">
      <c r="C62" s="16">
        <f t="shared" si="7"/>
        <v>0.3</v>
      </c>
      <c r="D62" s="16">
        <f t="shared" si="7"/>
        <v>0.3</v>
      </c>
      <c r="E62" s="16">
        <f t="shared" si="7"/>
        <v>0.3</v>
      </c>
      <c r="F62" s="16">
        <f t="shared" si="7"/>
        <v>0.3</v>
      </c>
      <c r="G62" s="16">
        <f t="shared" si="7"/>
        <v>0.3</v>
      </c>
      <c r="H62" s="16">
        <f t="shared" si="7"/>
        <v>0.3</v>
      </c>
      <c r="I62" s="16">
        <f t="shared" si="7"/>
        <v>0.3</v>
      </c>
      <c r="J62" s="16">
        <f t="shared" si="7"/>
        <v>0.3</v>
      </c>
      <c r="K62" s="16">
        <f t="shared" si="7"/>
        <v>0.3</v>
      </c>
      <c r="L62" s="16">
        <f t="shared" si="7"/>
        <v>0.3</v>
      </c>
      <c r="M62" s="16">
        <f t="shared" si="7"/>
        <v>0.3</v>
      </c>
      <c r="N62" s="16">
        <f t="shared" si="7"/>
        <v>0.3</v>
      </c>
      <c r="O62" s="16">
        <f t="shared" si="7"/>
        <v>0.3</v>
      </c>
      <c r="P62" s="16">
        <f t="shared" si="7"/>
        <v>0.3</v>
      </c>
      <c r="Q62" s="16">
        <f t="shared" si="7"/>
        <v>0.3</v>
      </c>
      <c r="R62" s="16">
        <f t="shared" si="7"/>
        <v>0.3</v>
      </c>
      <c r="S62" s="16">
        <f t="shared" si="6"/>
        <v>0.3</v>
      </c>
      <c r="T62" s="16">
        <f t="shared" si="6"/>
        <v>0.3</v>
      </c>
      <c r="U62" s="16">
        <f t="shared" si="6"/>
        <v>0.3</v>
      </c>
      <c r="V62" s="16">
        <f t="shared" si="6"/>
        <v>0.3</v>
      </c>
      <c r="W62" s="16">
        <f t="shared" si="6"/>
        <v>0.3</v>
      </c>
      <c r="X62" s="16">
        <f t="shared" si="6"/>
        <v>0.3</v>
      </c>
      <c r="Y62" s="16">
        <f t="shared" si="6"/>
        <v>0.3</v>
      </c>
      <c r="Z62" s="16">
        <f t="shared" si="6"/>
        <v>0.3</v>
      </c>
    </row>
    <row r="63" spans="3:26" x14ac:dyDescent="0.25">
      <c r="C63" s="16">
        <f t="shared" si="7"/>
        <v>0.3</v>
      </c>
      <c r="D63" s="16">
        <f t="shared" si="7"/>
        <v>0.3</v>
      </c>
      <c r="E63" s="16">
        <f t="shared" si="7"/>
        <v>0.3</v>
      </c>
      <c r="F63" s="16">
        <f t="shared" si="7"/>
        <v>0.3</v>
      </c>
      <c r="G63" s="16">
        <f t="shared" si="7"/>
        <v>0.3</v>
      </c>
      <c r="H63" s="16">
        <f t="shared" si="7"/>
        <v>0.3</v>
      </c>
      <c r="I63" s="16">
        <f t="shared" si="7"/>
        <v>0.3</v>
      </c>
      <c r="J63" s="16">
        <f t="shared" si="7"/>
        <v>0.3</v>
      </c>
      <c r="K63" s="16">
        <f t="shared" si="7"/>
        <v>0.3</v>
      </c>
      <c r="L63" s="16">
        <f t="shared" si="7"/>
        <v>0.3</v>
      </c>
      <c r="M63" s="16">
        <f t="shared" si="7"/>
        <v>0.3</v>
      </c>
      <c r="N63" s="16">
        <f t="shared" si="7"/>
        <v>0.3</v>
      </c>
      <c r="O63" s="16">
        <f t="shared" si="7"/>
        <v>0.3</v>
      </c>
      <c r="P63" s="16">
        <f t="shared" si="7"/>
        <v>0.3</v>
      </c>
      <c r="Q63" s="16">
        <f t="shared" si="7"/>
        <v>0.3</v>
      </c>
      <c r="R63" s="16">
        <f t="shared" si="7"/>
        <v>0.3</v>
      </c>
      <c r="S63" s="16">
        <f t="shared" si="6"/>
        <v>0.3</v>
      </c>
      <c r="T63" s="16">
        <f t="shared" si="6"/>
        <v>0.3</v>
      </c>
      <c r="U63" s="16">
        <f t="shared" si="6"/>
        <v>0.3</v>
      </c>
      <c r="V63" s="16">
        <f t="shared" si="6"/>
        <v>0.3</v>
      </c>
      <c r="W63" s="16">
        <f t="shared" si="6"/>
        <v>0.3</v>
      </c>
      <c r="X63" s="16">
        <f t="shared" si="6"/>
        <v>0.3</v>
      </c>
      <c r="Y63" s="16">
        <f t="shared" si="6"/>
        <v>0.3</v>
      </c>
      <c r="Z63" s="16">
        <f t="shared" si="6"/>
        <v>0.3</v>
      </c>
    </row>
    <row r="64" spans="3:26" x14ac:dyDescent="0.25">
      <c r="C64" s="16">
        <f t="shared" si="7"/>
        <v>0.3</v>
      </c>
      <c r="D64" s="16">
        <f t="shared" si="7"/>
        <v>0.3</v>
      </c>
      <c r="E64" s="16">
        <f t="shared" si="7"/>
        <v>0.3</v>
      </c>
      <c r="F64" s="16">
        <f t="shared" si="7"/>
        <v>0.3</v>
      </c>
      <c r="G64" s="16">
        <f t="shared" si="7"/>
        <v>0.3</v>
      </c>
      <c r="H64" s="16">
        <f t="shared" si="7"/>
        <v>0.3</v>
      </c>
      <c r="I64" s="16">
        <f t="shared" si="7"/>
        <v>0.3</v>
      </c>
      <c r="J64" s="16">
        <f t="shared" si="7"/>
        <v>0.3</v>
      </c>
      <c r="K64" s="16">
        <f t="shared" si="7"/>
        <v>0.3</v>
      </c>
      <c r="L64" s="16">
        <f t="shared" si="7"/>
        <v>0.3</v>
      </c>
      <c r="M64" s="16">
        <f t="shared" si="7"/>
        <v>0.3</v>
      </c>
      <c r="N64" s="16">
        <f t="shared" si="7"/>
        <v>0.3</v>
      </c>
      <c r="O64" s="16">
        <f t="shared" si="7"/>
        <v>0.3</v>
      </c>
      <c r="P64" s="16">
        <f t="shared" si="7"/>
        <v>0.3</v>
      </c>
      <c r="Q64" s="16">
        <f t="shared" si="7"/>
        <v>0.3</v>
      </c>
      <c r="R64" s="16">
        <f t="shared" ref="R64:Z64" si="8">$B$6</f>
        <v>0.3</v>
      </c>
      <c r="S64" s="16">
        <f t="shared" si="8"/>
        <v>0.3</v>
      </c>
      <c r="T64" s="16">
        <f t="shared" si="8"/>
        <v>0.3</v>
      </c>
      <c r="U64" s="16">
        <f t="shared" si="8"/>
        <v>0.3</v>
      </c>
      <c r="V64" s="16">
        <f t="shared" si="8"/>
        <v>0.3</v>
      </c>
      <c r="W64" s="16">
        <f t="shared" si="8"/>
        <v>0.3</v>
      </c>
      <c r="X64" s="16">
        <f t="shared" si="8"/>
        <v>0.3</v>
      </c>
      <c r="Y64" s="16">
        <f t="shared" si="8"/>
        <v>0.3</v>
      </c>
      <c r="Z64" s="16">
        <f t="shared" si="8"/>
        <v>0.3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2880-960C-40E9-9390-8382D3E659A9}">
  <sheetPr codeName="Sheet4"/>
  <dimension ref="A1:CFK64"/>
  <sheetViews>
    <sheetView topLeftCell="F1" workbookViewId="0">
      <selection activeCell="C5" sqref="C5:Z63"/>
    </sheetView>
  </sheetViews>
  <sheetFormatPr defaultColWidth="11.7109375" defaultRowHeight="15.75" x14ac:dyDescent="0.25"/>
  <cols>
    <col min="1" max="1" width="3" style="1" customWidth="1"/>
    <col min="2" max="2" width="13.7109375" style="2" customWidth="1"/>
    <col min="3" max="3" width="25.28515625" style="3" customWidth="1"/>
    <col min="4" max="4" width="17.7109375" style="3" customWidth="1"/>
    <col min="5" max="5" width="19.7109375" style="3" customWidth="1"/>
    <col min="6" max="16384" width="11.7109375" style="3"/>
  </cols>
  <sheetData>
    <row r="1" spans="1:2195" s="1" customFormat="1" x14ac:dyDescent="0.25"/>
    <row r="2" spans="1:2195" s="2" customFormat="1" ht="32.450000000000003" customHeight="1" x14ac:dyDescent="0.25">
      <c r="A2" s="1"/>
      <c r="B2" s="52" t="s">
        <v>25</v>
      </c>
      <c r="C2" s="52"/>
      <c r="D2" s="52"/>
      <c r="E2" s="14"/>
      <c r="F2" s="14"/>
    </row>
    <row r="3" spans="1:2195" s="2" customFormat="1" ht="32.450000000000003" customHeight="1" x14ac:dyDescent="0.25">
      <c r="A3" s="1"/>
      <c r="B3" s="15" t="s">
        <v>21</v>
      </c>
      <c r="C3" s="18" t="s">
        <v>34</v>
      </c>
      <c r="D3" s="5"/>
      <c r="E3" s="14"/>
      <c r="F3" s="14"/>
    </row>
    <row r="4" spans="1:2195" s="2" customFormat="1" ht="13.9" customHeight="1" x14ac:dyDescent="0.25">
      <c r="A4" s="1"/>
      <c r="B4" s="5"/>
      <c r="C4" s="17" t="s">
        <v>20</v>
      </c>
      <c r="D4" s="5"/>
      <c r="E4" s="14"/>
      <c r="F4" s="14"/>
    </row>
    <row r="5" spans="1:2195" x14ac:dyDescent="0.25">
      <c r="B5" s="17" t="s">
        <v>19</v>
      </c>
      <c r="C5" s="16">
        <v>0.05</v>
      </c>
      <c r="D5" s="16">
        <v>0.05</v>
      </c>
      <c r="E5" s="16">
        <v>0.05</v>
      </c>
      <c r="F5" s="16">
        <v>0.05</v>
      </c>
      <c r="G5" s="16">
        <v>0.05</v>
      </c>
      <c r="H5" s="16">
        <v>0.05</v>
      </c>
      <c r="I5" s="16">
        <v>0.05</v>
      </c>
      <c r="J5" s="16">
        <v>0.05</v>
      </c>
      <c r="K5" s="16">
        <v>0.05</v>
      </c>
      <c r="L5" s="16">
        <v>0.05</v>
      </c>
      <c r="M5" s="16">
        <v>0.05</v>
      </c>
      <c r="N5" s="16">
        <v>0.05</v>
      </c>
      <c r="O5" s="16">
        <v>0.05</v>
      </c>
      <c r="P5" s="16">
        <v>0.05</v>
      </c>
      <c r="Q5" s="16">
        <v>0.05</v>
      </c>
      <c r="R5" s="16">
        <v>0.05</v>
      </c>
      <c r="S5" s="16">
        <v>0.05</v>
      </c>
      <c r="T5" s="16">
        <v>0.05</v>
      </c>
      <c r="U5" s="16">
        <v>0.05</v>
      </c>
      <c r="V5" s="16">
        <v>0.05</v>
      </c>
      <c r="W5" s="16">
        <v>0.05</v>
      </c>
      <c r="X5" s="16">
        <v>0.05</v>
      </c>
      <c r="Y5" s="16">
        <v>0.05</v>
      </c>
      <c r="Z5" s="16">
        <v>0.05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</row>
    <row r="6" spans="1:2195" x14ac:dyDescent="0.25">
      <c r="C6" s="16">
        <v>0.05</v>
      </c>
      <c r="D6" s="16">
        <v>0.05</v>
      </c>
      <c r="E6" s="16">
        <v>0.05</v>
      </c>
      <c r="F6" s="16">
        <v>0.05</v>
      </c>
      <c r="G6" s="16">
        <v>0.05</v>
      </c>
      <c r="H6" s="16">
        <v>0.05</v>
      </c>
      <c r="I6" s="16">
        <v>0.05</v>
      </c>
      <c r="J6" s="16">
        <v>0.05</v>
      </c>
      <c r="K6" s="16">
        <v>0.05</v>
      </c>
      <c r="L6" s="16">
        <v>0.05</v>
      </c>
      <c r="M6" s="16">
        <v>0.05</v>
      </c>
      <c r="N6" s="16">
        <v>0.05</v>
      </c>
      <c r="O6" s="16">
        <v>0.05</v>
      </c>
      <c r="P6" s="16">
        <v>0.05</v>
      </c>
      <c r="Q6" s="16">
        <v>0.05</v>
      </c>
      <c r="R6" s="16">
        <v>0.05</v>
      </c>
      <c r="S6" s="16">
        <v>0.05</v>
      </c>
      <c r="T6" s="16">
        <v>0.05</v>
      </c>
      <c r="U6" s="16">
        <v>0.05</v>
      </c>
      <c r="V6" s="16">
        <v>0.05</v>
      </c>
      <c r="W6" s="16">
        <v>0.05</v>
      </c>
      <c r="X6" s="16">
        <v>0.05</v>
      </c>
      <c r="Y6" s="16">
        <v>0.05</v>
      </c>
      <c r="Z6" s="16">
        <v>0.05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</row>
    <row r="7" spans="1:2195" x14ac:dyDescent="0.25">
      <c r="C7" s="16">
        <v>0.05</v>
      </c>
      <c r="D7" s="16">
        <v>0.05</v>
      </c>
      <c r="E7" s="16">
        <v>0.05</v>
      </c>
      <c r="F7" s="16">
        <v>0.05</v>
      </c>
      <c r="G7" s="16">
        <v>0.05</v>
      </c>
      <c r="H7" s="16">
        <v>0.05</v>
      </c>
      <c r="I7" s="16">
        <v>0.05</v>
      </c>
      <c r="J7" s="16">
        <v>0.05</v>
      </c>
      <c r="K7" s="16">
        <v>0.05</v>
      </c>
      <c r="L7" s="16">
        <v>0.05</v>
      </c>
      <c r="M7" s="16">
        <v>0.05</v>
      </c>
      <c r="N7" s="16">
        <v>0.05</v>
      </c>
      <c r="O7" s="16">
        <v>0.05</v>
      </c>
      <c r="P7" s="16">
        <v>0.05</v>
      </c>
      <c r="Q7" s="16">
        <v>0.05</v>
      </c>
      <c r="R7" s="16">
        <v>0.05</v>
      </c>
      <c r="S7" s="16">
        <v>0.05</v>
      </c>
      <c r="T7" s="16">
        <v>0.05</v>
      </c>
      <c r="U7" s="16">
        <v>0.05</v>
      </c>
      <c r="V7" s="16">
        <v>0.05</v>
      </c>
      <c r="W7" s="16">
        <v>0.05</v>
      </c>
      <c r="X7" s="16">
        <v>0.05</v>
      </c>
      <c r="Y7" s="16">
        <v>0.05</v>
      </c>
      <c r="Z7" s="16">
        <v>0.05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</row>
    <row r="8" spans="1:2195" x14ac:dyDescent="0.25">
      <c r="C8" s="16">
        <v>0.05</v>
      </c>
      <c r="D8" s="16">
        <v>0.05</v>
      </c>
      <c r="E8" s="16">
        <v>0.05</v>
      </c>
      <c r="F8" s="16">
        <v>0.05</v>
      </c>
      <c r="G8" s="16">
        <v>0.05</v>
      </c>
      <c r="H8" s="16">
        <v>0.05</v>
      </c>
      <c r="I8" s="16">
        <v>0.05</v>
      </c>
      <c r="J8" s="16">
        <v>0.05</v>
      </c>
      <c r="K8" s="16">
        <v>0.05</v>
      </c>
      <c r="L8" s="16">
        <v>0.05</v>
      </c>
      <c r="M8" s="16">
        <v>0.05</v>
      </c>
      <c r="N8" s="16">
        <v>0.05</v>
      </c>
      <c r="O8" s="16">
        <v>0.05</v>
      </c>
      <c r="P8" s="16">
        <v>0.05</v>
      </c>
      <c r="Q8" s="16">
        <v>0.05</v>
      </c>
      <c r="R8" s="16">
        <v>0.05</v>
      </c>
      <c r="S8" s="16">
        <v>0.05</v>
      </c>
      <c r="T8" s="16">
        <v>0.05</v>
      </c>
      <c r="U8" s="16">
        <v>0.05</v>
      </c>
      <c r="V8" s="16">
        <v>0.05</v>
      </c>
      <c r="W8" s="16">
        <v>0.05</v>
      </c>
      <c r="X8" s="16">
        <v>0.05</v>
      </c>
      <c r="Y8" s="16">
        <v>0.05</v>
      </c>
      <c r="Z8" s="16">
        <v>0.05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</row>
    <row r="9" spans="1:2195" x14ac:dyDescent="0.25">
      <c r="C9" s="16">
        <v>0.05</v>
      </c>
      <c r="D9" s="16">
        <v>0.05</v>
      </c>
      <c r="E9" s="16">
        <v>0.05</v>
      </c>
      <c r="F9" s="16">
        <v>0.05</v>
      </c>
      <c r="G9" s="16">
        <v>0.05</v>
      </c>
      <c r="H9" s="16">
        <v>0.05</v>
      </c>
      <c r="I9" s="16">
        <v>0.05</v>
      </c>
      <c r="J9" s="16">
        <v>0.05</v>
      </c>
      <c r="K9" s="16">
        <v>0.05</v>
      </c>
      <c r="L9" s="16">
        <v>0.05</v>
      </c>
      <c r="M9" s="16">
        <v>0.05</v>
      </c>
      <c r="N9" s="16">
        <v>0.05</v>
      </c>
      <c r="O9" s="16">
        <v>0.05</v>
      </c>
      <c r="P9" s="16">
        <v>0.05</v>
      </c>
      <c r="Q9" s="16">
        <v>0.05</v>
      </c>
      <c r="R9" s="16">
        <v>0.05</v>
      </c>
      <c r="S9" s="16">
        <v>0.05</v>
      </c>
      <c r="T9" s="16">
        <v>0.05</v>
      </c>
      <c r="U9" s="16">
        <v>0.05</v>
      </c>
      <c r="V9" s="16">
        <v>0.05</v>
      </c>
      <c r="W9" s="16">
        <v>0.05</v>
      </c>
      <c r="X9" s="16">
        <v>0.05</v>
      </c>
      <c r="Y9" s="16">
        <v>0.05</v>
      </c>
      <c r="Z9" s="16">
        <v>0.05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</row>
    <row r="10" spans="1:2195" x14ac:dyDescent="0.25">
      <c r="C10" s="16">
        <v>0.05</v>
      </c>
      <c r="D10" s="16">
        <v>0.05</v>
      </c>
      <c r="E10" s="16">
        <v>0.05</v>
      </c>
      <c r="F10" s="16">
        <v>0.05</v>
      </c>
      <c r="G10" s="16">
        <v>0.05</v>
      </c>
      <c r="H10" s="16">
        <v>0.05</v>
      </c>
      <c r="I10" s="16">
        <v>0.05</v>
      </c>
      <c r="J10" s="16">
        <v>0.05</v>
      </c>
      <c r="K10" s="16">
        <v>0.05</v>
      </c>
      <c r="L10" s="16">
        <v>0.05</v>
      </c>
      <c r="M10" s="16">
        <v>0.05</v>
      </c>
      <c r="N10" s="16">
        <v>0.05</v>
      </c>
      <c r="O10" s="16">
        <v>0.05</v>
      </c>
      <c r="P10" s="16">
        <v>0.05</v>
      </c>
      <c r="Q10" s="16">
        <v>0.05</v>
      </c>
      <c r="R10" s="16">
        <v>0.05</v>
      </c>
      <c r="S10" s="16">
        <v>0.05</v>
      </c>
      <c r="T10" s="16">
        <v>0.05</v>
      </c>
      <c r="U10" s="16">
        <v>0.05</v>
      </c>
      <c r="V10" s="16">
        <v>0.05</v>
      </c>
      <c r="W10" s="16">
        <v>0.05</v>
      </c>
      <c r="X10" s="16">
        <v>0.05</v>
      </c>
      <c r="Y10" s="16">
        <v>0.05</v>
      </c>
      <c r="Z10" s="16">
        <v>0.05</v>
      </c>
    </row>
    <row r="11" spans="1:2195" x14ac:dyDescent="0.25">
      <c r="C11" s="16">
        <v>0.05</v>
      </c>
      <c r="D11" s="16">
        <v>0.05</v>
      </c>
      <c r="E11" s="16">
        <v>0.05</v>
      </c>
      <c r="F11" s="16">
        <v>0.05</v>
      </c>
      <c r="G11" s="16">
        <v>0.05</v>
      </c>
      <c r="H11" s="16">
        <v>0.05</v>
      </c>
      <c r="I11" s="16">
        <v>0.05</v>
      </c>
      <c r="J11" s="16">
        <v>0.05</v>
      </c>
      <c r="K11" s="16">
        <v>0.05</v>
      </c>
      <c r="L11" s="16">
        <v>0.05</v>
      </c>
      <c r="M11" s="16">
        <v>0.05</v>
      </c>
      <c r="N11" s="16">
        <v>0.05</v>
      </c>
      <c r="O11" s="16">
        <v>0.05</v>
      </c>
      <c r="P11" s="16">
        <v>0.05</v>
      </c>
      <c r="Q11" s="16">
        <v>0.05</v>
      </c>
      <c r="R11" s="16">
        <v>0.05</v>
      </c>
      <c r="S11" s="16">
        <v>0.05</v>
      </c>
      <c r="T11" s="16">
        <v>0.05</v>
      </c>
      <c r="U11" s="16">
        <v>0.05</v>
      </c>
      <c r="V11" s="16">
        <v>0.05</v>
      </c>
      <c r="W11" s="16">
        <v>0.05</v>
      </c>
      <c r="X11" s="16">
        <v>0.05</v>
      </c>
      <c r="Y11" s="16">
        <v>0.05</v>
      </c>
      <c r="Z11" s="16">
        <v>0.05</v>
      </c>
    </row>
    <row r="12" spans="1:2195" x14ac:dyDescent="0.25">
      <c r="C12" s="16">
        <v>0.05</v>
      </c>
      <c r="D12" s="16">
        <v>0.05</v>
      </c>
      <c r="E12" s="16">
        <v>0.05</v>
      </c>
      <c r="F12" s="16">
        <v>0.05</v>
      </c>
      <c r="G12" s="16">
        <v>0.05</v>
      </c>
      <c r="H12" s="16">
        <v>0.05</v>
      </c>
      <c r="I12" s="16">
        <v>0.05</v>
      </c>
      <c r="J12" s="16">
        <v>0.05</v>
      </c>
      <c r="K12" s="16">
        <v>0.05</v>
      </c>
      <c r="L12" s="16">
        <v>0.05</v>
      </c>
      <c r="M12" s="16">
        <v>0.05</v>
      </c>
      <c r="N12" s="16">
        <v>0.05</v>
      </c>
      <c r="O12" s="16">
        <v>0.05</v>
      </c>
      <c r="P12" s="16">
        <v>0.05</v>
      </c>
      <c r="Q12" s="16">
        <v>0.05</v>
      </c>
      <c r="R12" s="16">
        <v>0.05</v>
      </c>
      <c r="S12" s="16">
        <v>0.05</v>
      </c>
      <c r="T12" s="16">
        <v>0.05</v>
      </c>
      <c r="U12" s="16">
        <v>0.05</v>
      </c>
      <c r="V12" s="16">
        <v>0.05</v>
      </c>
      <c r="W12" s="16">
        <v>0.05</v>
      </c>
      <c r="X12" s="16">
        <v>0.05</v>
      </c>
      <c r="Y12" s="16">
        <v>0.05</v>
      </c>
      <c r="Z12" s="16">
        <v>0.05</v>
      </c>
    </row>
    <row r="13" spans="1:2195" x14ac:dyDescent="0.25">
      <c r="C13" s="16">
        <v>0.05</v>
      </c>
      <c r="D13" s="16">
        <v>0.05</v>
      </c>
      <c r="E13" s="16">
        <v>0.05</v>
      </c>
      <c r="F13" s="16">
        <v>0.05</v>
      </c>
      <c r="G13" s="16">
        <v>0.05</v>
      </c>
      <c r="H13" s="16">
        <v>0.05</v>
      </c>
      <c r="I13" s="16">
        <v>0.05</v>
      </c>
      <c r="J13" s="16">
        <v>0.05</v>
      </c>
      <c r="K13" s="16">
        <v>0.05</v>
      </c>
      <c r="L13" s="16">
        <v>0.05</v>
      </c>
      <c r="M13" s="16">
        <v>0.05</v>
      </c>
      <c r="N13" s="16">
        <v>0.05</v>
      </c>
      <c r="O13" s="16">
        <v>0.05</v>
      </c>
      <c r="P13" s="16">
        <v>0.05</v>
      </c>
      <c r="Q13" s="16">
        <v>0.05</v>
      </c>
      <c r="R13" s="16">
        <v>0.05</v>
      </c>
      <c r="S13" s="16">
        <v>0.05</v>
      </c>
      <c r="T13" s="16">
        <v>0.05</v>
      </c>
      <c r="U13" s="16">
        <v>0.05</v>
      </c>
      <c r="V13" s="16">
        <v>0.05</v>
      </c>
      <c r="W13" s="16">
        <v>0.05</v>
      </c>
      <c r="X13" s="16">
        <v>0.05</v>
      </c>
      <c r="Y13" s="16">
        <v>0.05</v>
      </c>
      <c r="Z13" s="16">
        <v>0.05</v>
      </c>
    </row>
    <row r="14" spans="1:2195" x14ac:dyDescent="0.25">
      <c r="C14" s="16">
        <v>0.05</v>
      </c>
      <c r="D14" s="16">
        <v>0.05</v>
      </c>
      <c r="E14" s="16">
        <v>0.05</v>
      </c>
      <c r="F14" s="16">
        <v>0.05</v>
      </c>
      <c r="G14" s="16">
        <v>0.05</v>
      </c>
      <c r="H14" s="16">
        <v>0.05</v>
      </c>
      <c r="I14" s="16">
        <v>0.05</v>
      </c>
      <c r="J14" s="16">
        <v>0.05</v>
      </c>
      <c r="K14" s="16">
        <v>0.05</v>
      </c>
      <c r="L14" s="16">
        <v>0.05</v>
      </c>
      <c r="M14" s="16">
        <v>0.05</v>
      </c>
      <c r="N14" s="16">
        <v>0.05</v>
      </c>
      <c r="O14" s="16">
        <v>0.05</v>
      </c>
      <c r="P14" s="16">
        <v>0.05</v>
      </c>
      <c r="Q14" s="16">
        <v>0.05</v>
      </c>
      <c r="R14" s="16">
        <v>0.05</v>
      </c>
      <c r="S14" s="16">
        <v>0.05</v>
      </c>
      <c r="T14" s="16">
        <v>0.05</v>
      </c>
      <c r="U14" s="16">
        <v>0.05</v>
      </c>
      <c r="V14" s="16">
        <v>0.05</v>
      </c>
      <c r="W14" s="16">
        <v>0.05</v>
      </c>
      <c r="X14" s="16">
        <v>0.05</v>
      </c>
      <c r="Y14" s="16">
        <v>0.05</v>
      </c>
      <c r="Z14" s="16">
        <v>0.05</v>
      </c>
    </row>
    <row r="15" spans="1:2195" x14ac:dyDescent="0.25">
      <c r="C15" s="16">
        <v>0.05</v>
      </c>
      <c r="D15" s="16">
        <v>0.05</v>
      </c>
      <c r="E15" s="16">
        <v>0.05</v>
      </c>
      <c r="F15" s="16">
        <v>0.05</v>
      </c>
      <c r="G15" s="16">
        <v>0.05</v>
      </c>
      <c r="H15" s="16">
        <v>0.05</v>
      </c>
      <c r="I15" s="16">
        <v>0.05</v>
      </c>
      <c r="J15" s="16">
        <v>0.05</v>
      </c>
      <c r="K15" s="16">
        <v>0.05</v>
      </c>
      <c r="L15" s="16">
        <v>0.05</v>
      </c>
      <c r="M15" s="16">
        <v>0.05</v>
      </c>
      <c r="N15" s="16">
        <v>0.05</v>
      </c>
      <c r="O15" s="16">
        <v>0.05</v>
      </c>
      <c r="P15" s="16">
        <v>0.05</v>
      </c>
      <c r="Q15" s="16">
        <v>0.05</v>
      </c>
      <c r="R15" s="16">
        <v>0.05</v>
      </c>
      <c r="S15" s="16">
        <v>0.05</v>
      </c>
      <c r="T15" s="16">
        <v>0.05</v>
      </c>
      <c r="U15" s="16">
        <v>0.05</v>
      </c>
      <c r="V15" s="16">
        <v>0.05</v>
      </c>
      <c r="W15" s="16">
        <v>0.05</v>
      </c>
      <c r="X15" s="16">
        <v>0.05</v>
      </c>
      <c r="Y15" s="16">
        <v>0.05</v>
      </c>
      <c r="Z15" s="16">
        <v>0.05</v>
      </c>
    </row>
    <row r="16" spans="1:2195" x14ac:dyDescent="0.25">
      <c r="C16" s="16">
        <v>0.05</v>
      </c>
      <c r="D16" s="16">
        <v>0.05</v>
      </c>
      <c r="E16" s="16">
        <v>0.05</v>
      </c>
      <c r="F16" s="16">
        <v>0.05</v>
      </c>
      <c r="G16" s="16">
        <v>0.05</v>
      </c>
      <c r="H16" s="16">
        <v>0.05</v>
      </c>
      <c r="I16" s="16">
        <v>0.05</v>
      </c>
      <c r="J16" s="16">
        <v>0.05</v>
      </c>
      <c r="K16" s="16">
        <v>0.05</v>
      </c>
      <c r="L16" s="16">
        <v>0.05</v>
      </c>
      <c r="M16" s="16">
        <v>0.05</v>
      </c>
      <c r="N16" s="16">
        <v>0.05</v>
      </c>
      <c r="O16" s="16">
        <v>0.05</v>
      </c>
      <c r="P16" s="16">
        <v>0.05</v>
      </c>
      <c r="Q16" s="16">
        <v>0.05</v>
      </c>
      <c r="R16" s="16">
        <v>0.05</v>
      </c>
      <c r="S16" s="16">
        <v>0.05</v>
      </c>
      <c r="T16" s="16">
        <v>0.05</v>
      </c>
      <c r="U16" s="16">
        <v>0.05</v>
      </c>
      <c r="V16" s="16">
        <v>0.05</v>
      </c>
      <c r="W16" s="16">
        <v>0.05</v>
      </c>
      <c r="X16" s="16">
        <v>0.05</v>
      </c>
      <c r="Y16" s="16">
        <v>0.05</v>
      </c>
      <c r="Z16" s="16">
        <v>0.05</v>
      </c>
    </row>
    <row r="17" spans="3:26" x14ac:dyDescent="0.25">
      <c r="C17" s="16">
        <v>0.05</v>
      </c>
      <c r="D17" s="16">
        <v>0.05</v>
      </c>
      <c r="E17" s="16">
        <v>0.05</v>
      </c>
      <c r="F17" s="16">
        <v>0.05</v>
      </c>
      <c r="G17" s="16">
        <v>0.05</v>
      </c>
      <c r="H17" s="16">
        <v>0.05</v>
      </c>
      <c r="I17" s="16">
        <v>0.05</v>
      </c>
      <c r="J17" s="16">
        <v>0.05</v>
      </c>
      <c r="K17" s="16">
        <v>0.05</v>
      </c>
      <c r="L17" s="16">
        <v>0.05</v>
      </c>
      <c r="M17" s="16">
        <v>0.05</v>
      </c>
      <c r="N17" s="16">
        <v>0.05</v>
      </c>
      <c r="O17" s="16">
        <v>0.05</v>
      </c>
      <c r="P17" s="16">
        <v>0.05</v>
      </c>
      <c r="Q17" s="16">
        <v>0.05</v>
      </c>
      <c r="R17" s="16">
        <v>0.05</v>
      </c>
      <c r="S17" s="16">
        <v>0.05</v>
      </c>
      <c r="T17" s="16">
        <v>0.05</v>
      </c>
      <c r="U17" s="16">
        <v>0.05</v>
      </c>
      <c r="V17" s="16">
        <v>0.05</v>
      </c>
      <c r="W17" s="16">
        <v>0.05</v>
      </c>
      <c r="X17" s="16">
        <v>0.05</v>
      </c>
      <c r="Y17" s="16">
        <v>0.05</v>
      </c>
      <c r="Z17" s="16">
        <v>0.05</v>
      </c>
    </row>
    <row r="18" spans="3:26" x14ac:dyDescent="0.25">
      <c r="C18" s="16">
        <v>0.05</v>
      </c>
      <c r="D18" s="16">
        <v>0.05</v>
      </c>
      <c r="E18" s="16">
        <v>0.05</v>
      </c>
      <c r="F18" s="16">
        <v>0.05</v>
      </c>
      <c r="G18" s="16">
        <v>0.05</v>
      </c>
      <c r="H18" s="16">
        <v>0.05</v>
      </c>
      <c r="I18" s="16">
        <v>0.05</v>
      </c>
      <c r="J18" s="16">
        <v>0.05</v>
      </c>
      <c r="K18" s="16">
        <v>0.05</v>
      </c>
      <c r="L18" s="16">
        <v>0.05</v>
      </c>
      <c r="M18" s="16">
        <v>0.05</v>
      </c>
      <c r="N18" s="16">
        <v>0.05</v>
      </c>
      <c r="O18" s="16">
        <v>0.05</v>
      </c>
      <c r="P18" s="16">
        <v>0.05</v>
      </c>
      <c r="Q18" s="16">
        <v>0.05</v>
      </c>
      <c r="R18" s="16">
        <v>0.05</v>
      </c>
      <c r="S18" s="16">
        <v>0.05</v>
      </c>
      <c r="T18" s="16">
        <v>0.05</v>
      </c>
      <c r="U18" s="16">
        <v>0.05</v>
      </c>
      <c r="V18" s="16">
        <v>0.05</v>
      </c>
      <c r="W18" s="16">
        <v>0.05</v>
      </c>
      <c r="X18" s="16">
        <v>0.05</v>
      </c>
      <c r="Y18" s="16">
        <v>0.05</v>
      </c>
      <c r="Z18" s="16">
        <v>0.05</v>
      </c>
    </row>
    <row r="19" spans="3:26" x14ac:dyDescent="0.25">
      <c r="C19" s="16">
        <v>0.05</v>
      </c>
      <c r="D19" s="16">
        <v>0.05</v>
      </c>
      <c r="E19" s="16">
        <v>0.05</v>
      </c>
      <c r="F19" s="16">
        <v>0.05</v>
      </c>
      <c r="G19" s="16">
        <v>0.05</v>
      </c>
      <c r="H19" s="16">
        <v>0.05</v>
      </c>
      <c r="I19" s="16">
        <v>0.05</v>
      </c>
      <c r="J19" s="16">
        <v>0.05</v>
      </c>
      <c r="K19" s="16">
        <v>0.05</v>
      </c>
      <c r="L19" s="16">
        <v>0.05</v>
      </c>
      <c r="M19" s="16">
        <v>0.05</v>
      </c>
      <c r="N19" s="16">
        <v>0.05</v>
      </c>
      <c r="O19" s="16">
        <v>0.05</v>
      </c>
      <c r="P19" s="16">
        <v>0.05</v>
      </c>
      <c r="Q19" s="16">
        <v>0.05</v>
      </c>
      <c r="R19" s="16">
        <v>0.05</v>
      </c>
      <c r="S19" s="16">
        <v>0.05</v>
      </c>
      <c r="T19" s="16">
        <v>0.05</v>
      </c>
      <c r="U19" s="16">
        <v>0.05</v>
      </c>
      <c r="V19" s="16">
        <v>0.05</v>
      </c>
      <c r="W19" s="16">
        <v>0.05</v>
      </c>
      <c r="X19" s="16">
        <v>0.05</v>
      </c>
      <c r="Y19" s="16">
        <v>0.05</v>
      </c>
      <c r="Z19" s="16">
        <v>0.05</v>
      </c>
    </row>
    <row r="20" spans="3:26" x14ac:dyDescent="0.25">
      <c r="C20" s="16">
        <v>0.05</v>
      </c>
      <c r="D20" s="16">
        <v>0.05</v>
      </c>
      <c r="E20" s="16">
        <v>0.05</v>
      </c>
      <c r="F20" s="16">
        <v>0.05</v>
      </c>
      <c r="G20" s="16">
        <v>0.05</v>
      </c>
      <c r="H20" s="16">
        <v>0.05</v>
      </c>
      <c r="I20" s="16">
        <v>0.05</v>
      </c>
      <c r="J20" s="16">
        <v>0.05</v>
      </c>
      <c r="K20" s="16">
        <v>0.05</v>
      </c>
      <c r="L20" s="16">
        <v>0.05</v>
      </c>
      <c r="M20" s="16">
        <v>0.05</v>
      </c>
      <c r="N20" s="16">
        <v>0.05</v>
      </c>
      <c r="O20" s="16">
        <v>0.05</v>
      </c>
      <c r="P20" s="16">
        <v>0.05</v>
      </c>
      <c r="Q20" s="16">
        <v>0.05</v>
      </c>
      <c r="R20" s="16">
        <v>0.05</v>
      </c>
      <c r="S20" s="16">
        <v>0.05</v>
      </c>
      <c r="T20" s="16">
        <v>0.05</v>
      </c>
      <c r="U20" s="16">
        <v>0.05</v>
      </c>
      <c r="V20" s="16">
        <v>0.05</v>
      </c>
      <c r="W20" s="16">
        <v>0.05</v>
      </c>
      <c r="X20" s="16">
        <v>0.05</v>
      </c>
      <c r="Y20" s="16">
        <v>0.05</v>
      </c>
      <c r="Z20" s="16">
        <v>0.05</v>
      </c>
    </row>
    <row r="21" spans="3:26" x14ac:dyDescent="0.25">
      <c r="C21" s="16">
        <v>0.05</v>
      </c>
      <c r="D21" s="16">
        <v>0.05</v>
      </c>
      <c r="E21" s="16">
        <v>0.05</v>
      </c>
      <c r="F21" s="16">
        <v>0.05</v>
      </c>
      <c r="G21" s="16">
        <v>0.05</v>
      </c>
      <c r="H21" s="16">
        <v>0.05</v>
      </c>
      <c r="I21" s="16">
        <v>0.05</v>
      </c>
      <c r="J21" s="16">
        <v>0.05</v>
      </c>
      <c r="K21" s="16">
        <v>0.05</v>
      </c>
      <c r="L21" s="16">
        <v>0.05</v>
      </c>
      <c r="M21" s="16">
        <v>0.05</v>
      </c>
      <c r="N21" s="16">
        <v>0.05</v>
      </c>
      <c r="O21" s="16">
        <v>0.05</v>
      </c>
      <c r="P21" s="16">
        <v>0.05</v>
      </c>
      <c r="Q21" s="16">
        <v>0.05</v>
      </c>
      <c r="R21" s="16">
        <v>0.05</v>
      </c>
      <c r="S21" s="16">
        <v>0.05</v>
      </c>
      <c r="T21" s="16">
        <v>0.05</v>
      </c>
      <c r="U21" s="16">
        <v>0.05</v>
      </c>
      <c r="V21" s="16">
        <v>0.05</v>
      </c>
      <c r="W21" s="16">
        <v>0.05</v>
      </c>
      <c r="X21" s="16">
        <v>0.05</v>
      </c>
      <c r="Y21" s="16">
        <v>0.05</v>
      </c>
      <c r="Z21" s="16">
        <v>0.05</v>
      </c>
    </row>
    <row r="22" spans="3:26" x14ac:dyDescent="0.25">
      <c r="C22" s="16">
        <v>0.05</v>
      </c>
      <c r="D22" s="16">
        <v>0.05</v>
      </c>
      <c r="E22" s="16">
        <v>0.05</v>
      </c>
      <c r="F22" s="16">
        <v>0.05</v>
      </c>
      <c r="G22" s="16">
        <v>0.05</v>
      </c>
      <c r="H22" s="16">
        <v>0.05</v>
      </c>
      <c r="I22" s="16">
        <v>0.05</v>
      </c>
      <c r="J22" s="16">
        <v>0.05</v>
      </c>
      <c r="K22" s="16">
        <v>0.05</v>
      </c>
      <c r="L22" s="16">
        <v>0.05</v>
      </c>
      <c r="M22" s="16">
        <v>0.05</v>
      </c>
      <c r="N22" s="16">
        <v>0.05</v>
      </c>
      <c r="O22" s="16">
        <v>0.05</v>
      </c>
      <c r="P22" s="16">
        <v>0.05</v>
      </c>
      <c r="Q22" s="16">
        <v>0.05</v>
      </c>
      <c r="R22" s="16">
        <v>0.05</v>
      </c>
      <c r="S22" s="16">
        <v>0.05</v>
      </c>
      <c r="T22" s="16">
        <v>0.05</v>
      </c>
      <c r="U22" s="16">
        <v>0.05</v>
      </c>
      <c r="V22" s="16">
        <v>0.05</v>
      </c>
      <c r="W22" s="16">
        <v>0.05</v>
      </c>
      <c r="X22" s="16">
        <v>0.05</v>
      </c>
      <c r="Y22" s="16">
        <v>0.05</v>
      </c>
      <c r="Z22" s="16">
        <v>0.05</v>
      </c>
    </row>
    <row r="23" spans="3:26" x14ac:dyDescent="0.25">
      <c r="C23" s="16">
        <v>0.05</v>
      </c>
      <c r="D23" s="16">
        <v>0.05</v>
      </c>
      <c r="E23" s="16">
        <v>0.05</v>
      </c>
      <c r="F23" s="16">
        <v>0.05</v>
      </c>
      <c r="G23" s="16">
        <v>0.05</v>
      </c>
      <c r="H23" s="16">
        <v>0.05</v>
      </c>
      <c r="I23" s="16">
        <v>0.05</v>
      </c>
      <c r="J23" s="16">
        <v>0.05</v>
      </c>
      <c r="K23" s="16">
        <v>0.05</v>
      </c>
      <c r="L23" s="16">
        <v>0.05</v>
      </c>
      <c r="M23" s="16">
        <v>0.05</v>
      </c>
      <c r="N23" s="16">
        <v>0.05</v>
      </c>
      <c r="O23" s="16">
        <v>0.05</v>
      </c>
      <c r="P23" s="16">
        <v>0.05</v>
      </c>
      <c r="Q23" s="16">
        <v>0.05</v>
      </c>
      <c r="R23" s="16">
        <v>0.05</v>
      </c>
      <c r="S23" s="16">
        <v>0.05</v>
      </c>
      <c r="T23" s="16">
        <v>0.05</v>
      </c>
      <c r="U23" s="16">
        <v>0.05</v>
      </c>
      <c r="V23" s="16">
        <v>0.05</v>
      </c>
      <c r="W23" s="16">
        <v>0.05</v>
      </c>
      <c r="X23" s="16">
        <v>0.05</v>
      </c>
      <c r="Y23" s="16">
        <v>0.05</v>
      </c>
      <c r="Z23" s="16">
        <v>0.05</v>
      </c>
    </row>
    <row r="24" spans="3:26" x14ac:dyDescent="0.25">
      <c r="C24" s="16">
        <v>0.05</v>
      </c>
      <c r="D24" s="16">
        <v>0.05</v>
      </c>
      <c r="E24" s="16">
        <v>0.05</v>
      </c>
      <c r="F24" s="16">
        <v>0.05</v>
      </c>
      <c r="G24" s="16">
        <v>0.05</v>
      </c>
      <c r="H24" s="16">
        <v>0.05</v>
      </c>
      <c r="I24" s="16">
        <v>0.05</v>
      </c>
      <c r="J24" s="16">
        <v>0.05</v>
      </c>
      <c r="K24" s="16">
        <v>0.05</v>
      </c>
      <c r="L24" s="16">
        <v>0.05</v>
      </c>
      <c r="M24" s="16">
        <v>0.05</v>
      </c>
      <c r="N24" s="16">
        <v>0.05</v>
      </c>
      <c r="O24" s="16">
        <v>0.05</v>
      </c>
      <c r="P24" s="16">
        <v>0.05</v>
      </c>
      <c r="Q24" s="16">
        <v>0.05</v>
      </c>
      <c r="R24" s="16">
        <v>0.05</v>
      </c>
      <c r="S24" s="16">
        <v>0.05</v>
      </c>
      <c r="T24" s="16">
        <v>0.05</v>
      </c>
      <c r="U24" s="16">
        <v>0.05</v>
      </c>
      <c r="V24" s="16">
        <v>0.05</v>
      </c>
      <c r="W24" s="16">
        <v>0.05</v>
      </c>
      <c r="X24" s="16">
        <v>0.05</v>
      </c>
      <c r="Y24" s="16">
        <v>0.05</v>
      </c>
      <c r="Z24" s="16">
        <v>0.05</v>
      </c>
    </row>
    <row r="25" spans="3:26" x14ac:dyDescent="0.25">
      <c r="C25" s="16">
        <v>0.05</v>
      </c>
      <c r="D25" s="16">
        <v>0.05</v>
      </c>
      <c r="E25" s="16">
        <v>0.05</v>
      </c>
      <c r="F25" s="16">
        <v>0.05</v>
      </c>
      <c r="G25" s="16">
        <v>0.05</v>
      </c>
      <c r="H25" s="16">
        <v>0.05</v>
      </c>
      <c r="I25" s="16">
        <v>0.05</v>
      </c>
      <c r="J25" s="16">
        <v>0.05</v>
      </c>
      <c r="K25" s="16">
        <v>0.05</v>
      </c>
      <c r="L25" s="16">
        <v>0.05</v>
      </c>
      <c r="M25" s="16">
        <v>0.05</v>
      </c>
      <c r="N25" s="16">
        <v>0.05</v>
      </c>
      <c r="O25" s="16">
        <v>0.05</v>
      </c>
      <c r="P25" s="16">
        <v>0.05</v>
      </c>
      <c r="Q25" s="16">
        <v>0.05</v>
      </c>
      <c r="R25" s="16">
        <v>0.05</v>
      </c>
      <c r="S25" s="16">
        <v>0.05</v>
      </c>
      <c r="T25" s="16">
        <v>0.05</v>
      </c>
      <c r="U25" s="16">
        <v>0.05</v>
      </c>
      <c r="V25" s="16">
        <v>0.05</v>
      </c>
      <c r="W25" s="16">
        <v>0.05</v>
      </c>
      <c r="X25" s="16">
        <v>0.05</v>
      </c>
      <c r="Y25" s="16">
        <v>0.05</v>
      </c>
      <c r="Z25" s="16">
        <v>0.05</v>
      </c>
    </row>
    <row r="26" spans="3:26" x14ac:dyDescent="0.25">
      <c r="C26" s="16">
        <v>0.05</v>
      </c>
      <c r="D26" s="16">
        <v>0.05</v>
      </c>
      <c r="E26" s="16">
        <v>0.05</v>
      </c>
      <c r="F26" s="16">
        <v>0.05</v>
      </c>
      <c r="G26" s="16">
        <v>0.05</v>
      </c>
      <c r="H26" s="16">
        <v>0.05</v>
      </c>
      <c r="I26" s="16">
        <v>0.05</v>
      </c>
      <c r="J26" s="16">
        <v>0.05</v>
      </c>
      <c r="K26" s="16">
        <v>0.05</v>
      </c>
      <c r="L26" s="16">
        <v>0.05</v>
      </c>
      <c r="M26" s="16">
        <v>0.05</v>
      </c>
      <c r="N26" s="16">
        <v>0.05</v>
      </c>
      <c r="O26" s="16">
        <v>0.05</v>
      </c>
      <c r="P26" s="16">
        <v>0.05</v>
      </c>
      <c r="Q26" s="16">
        <v>0.05</v>
      </c>
      <c r="R26" s="16">
        <v>0.05</v>
      </c>
      <c r="S26" s="16">
        <v>0.05</v>
      </c>
      <c r="T26" s="16">
        <v>0.05</v>
      </c>
      <c r="U26" s="16">
        <v>0.05</v>
      </c>
      <c r="V26" s="16">
        <v>0.05</v>
      </c>
      <c r="W26" s="16">
        <v>0.05</v>
      </c>
      <c r="X26" s="16">
        <v>0.05</v>
      </c>
      <c r="Y26" s="16">
        <v>0.05</v>
      </c>
      <c r="Z26" s="16">
        <v>0.05</v>
      </c>
    </row>
    <row r="27" spans="3:26" x14ac:dyDescent="0.25">
      <c r="C27" s="16">
        <v>0.05</v>
      </c>
      <c r="D27" s="16">
        <v>0.05</v>
      </c>
      <c r="E27" s="16">
        <v>0.05</v>
      </c>
      <c r="F27" s="16">
        <v>0.05</v>
      </c>
      <c r="G27" s="16">
        <v>0.05</v>
      </c>
      <c r="H27" s="16">
        <v>0.05</v>
      </c>
      <c r="I27" s="16">
        <v>0.05</v>
      </c>
      <c r="J27" s="16">
        <v>0.05</v>
      </c>
      <c r="K27" s="16">
        <v>0.05</v>
      </c>
      <c r="L27" s="16">
        <v>0.05</v>
      </c>
      <c r="M27" s="16">
        <v>0.05</v>
      </c>
      <c r="N27" s="16">
        <v>0.05</v>
      </c>
      <c r="O27" s="16">
        <v>0.05</v>
      </c>
      <c r="P27" s="16">
        <v>0.05</v>
      </c>
      <c r="Q27" s="16">
        <v>0.05</v>
      </c>
      <c r="R27" s="16">
        <v>0.05</v>
      </c>
      <c r="S27" s="16">
        <v>0.05</v>
      </c>
      <c r="T27" s="16">
        <v>0.05</v>
      </c>
      <c r="U27" s="16">
        <v>0.05</v>
      </c>
      <c r="V27" s="16">
        <v>0.05</v>
      </c>
      <c r="W27" s="16">
        <v>0.05</v>
      </c>
      <c r="X27" s="16">
        <v>0.05</v>
      </c>
      <c r="Y27" s="16">
        <v>0.05</v>
      </c>
      <c r="Z27" s="16">
        <v>0.05</v>
      </c>
    </row>
    <row r="28" spans="3:26" x14ac:dyDescent="0.25">
      <c r="C28" s="16">
        <v>0.05</v>
      </c>
      <c r="D28" s="16">
        <v>0.05</v>
      </c>
      <c r="E28" s="16">
        <v>0.05</v>
      </c>
      <c r="F28" s="16">
        <v>0.05</v>
      </c>
      <c r="G28" s="16">
        <v>0.05</v>
      </c>
      <c r="H28" s="16">
        <v>0.05</v>
      </c>
      <c r="I28" s="16">
        <v>0.05</v>
      </c>
      <c r="J28" s="16">
        <v>0.05</v>
      </c>
      <c r="K28" s="16">
        <v>0.05</v>
      </c>
      <c r="L28" s="16">
        <v>0.05</v>
      </c>
      <c r="M28" s="16">
        <v>0.05</v>
      </c>
      <c r="N28" s="16">
        <v>0.05</v>
      </c>
      <c r="O28" s="16">
        <v>0.05</v>
      </c>
      <c r="P28" s="16">
        <v>0.05</v>
      </c>
      <c r="Q28" s="16">
        <v>0.05</v>
      </c>
      <c r="R28" s="16">
        <v>0.05</v>
      </c>
      <c r="S28" s="16">
        <v>0.05</v>
      </c>
      <c r="T28" s="16">
        <v>0.05</v>
      </c>
      <c r="U28" s="16">
        <v>0.05</v>
      </c>
      <c r="V28" s="16">
        <v>0.05</v>
      </c>
      <c r="W28" s="16">
        <v>0.05</v>
      </c>
      <c r="X28" s="16">
        <v>0.05</v>
      </c>
      <c r="Y28" s="16">
        <v>0.05</v>
      </c>
      <c r="Z28" s="16">
        <v>0.05</v>
      </c>
    </row>
    <row r="29" spans="3:26" x14ac:dyDescent="0.25">
      <c r="C29" s="16">
        <v>0.05</v>
      </c>
      <c r="D29" s="16">
        <v>0.05</v>
      </c>
      <c r="E29" s="16">
        <v>0.05</v>
      </c>
      <c r="F29" s="16">
        <v>0.05</v>
      </c>
      <c r="G29" s="16">
        <v>0.05</v>
      </c>
      <c r="H29" s="16">
        <v>0.05</v>
      </c>
      <c r="I29" s="16">
        <v>0.05</v>
      </c>
      <c r="J29" s="16">
        <v>0.05</v>
      </c>
      <c r="K29" s="16">
        <v>0.05</v>
      </c>
      <c r="L29" s="16">
        <v>0.05</v>
      </c>
      <c r="M29" s="16">
        <v>0.05</v>
      </c>
      <c r="N29" s="16">
        <v>0.05</v>
      </c>
      <c r="O29" s="16">
        <v>0.05</v>
      </c>
      <c r="P29" s="16">
        <v>0.05</v>
      </c>
      <c r="Q29" s="16">
        <v>0.05</v>
      </c>
      <c r="R29" s="16">
        <v>0.05</v>
      </c>
      <c r="S29" s="16">
        <v>0.05</v>
      </c>
      <c r="T29" s="16">
        <v>0.05</v>
      </c>
      <c r="U29" s="16">
        <v>0.05</v>
      </c>
      <c r="V29" s="16">
        <v>0.05</v>
      </c>
      <c r="W29" s="16">
        <v>0.05</v>
      </c>
      <c r="X29" s="16">
        <v>0.05</v>
      </c>
      <c r="Y29" s="16">
        <v>0.05</v>
      </c>
      <c r="Z29" s="16">
        <v>0.05</v>
      </c>
    </row>
    <row r="30" spans="3:26" x14ac:dyDescent="0.25">
      <c r="C30" s="16">
        <v>0.05</v>
      </c>
      <c r="D30" s="16">
        <v>0.05</v>
      </c>
      <c r="E30" s="16">
        <v>0.05</v>
      </c>
      <c r="F30" s="16">
        <v>0.05</v>
      </c>
      <c r="G30" s="16">
        <v>0.05</v>
      </c>
      <c r="H30" s="16">
        <v>0.05</v>
      </c>
      <c r="I30" s="16">
        <v>0.05</v>
      </c>
      <c r="J30" s="16">
        <v>0.05</v>
      </c>
      <c r="K30" s="16">
        <v>0.05</v>
      </c>
      <c r="L30" s="16">
        <v>0.05</v>
      </c>
      <c r="M30" s="16">
        <v>0.05</v>
      </c>
      <c r="N30" s="16">
        <v>0.05</v>
      </c>
      <c r="O30" s="16">
        <v>0.05</v>
      </c>
      <c r="P30" s="16">
        <v>0.05</v>
      </c>
      <c r="Q30" s="16">
        <v>0.05</v>
      </c>
      <c r="R30" s="16">
        <v>0.05</v>
      </c>
      <c r="S30" s="16">
        <v>0.05</v>
      </c>
      <c r="T30" s="16">
        <v>0.05</v>
      </c>
      <c r="U30" s="16">
        <v>0.05</v>
      </c>
      <c r="V30" s="16">
        <v>0.05</v>
      </c>
      <c r="W30" s="16">
        <v>0.05</v>
      </c>
      <c r="X30" s="16">
        <v>0.05</v>
      </c>
      <c r="Y30" s="16">
        <v>0.05</v>
      </c>
      <c r="Z30" s="16">
        <v>0.05</v>
      </c>
    </row>
    <row r="31" spans="3:26" x14ac:dyDescent="0.25">
      <c r="C31" s="16">
        <v>0.05</v>
      </c>
      <c r="D31" s="16">
        <v>0.05</v>
      </c>
      <c r="E31" s="16">
        <v>0.05</v>
      </c>
      <c r="F31" s="16">
        <v>0.05</v>
      </c>
      <c r="G31" s="16">
        <v>0.05</v>
      </c>
      <c r="H31" s="16">
        <v>0.05</v>
      </c>
      <c r="I31" s="16">
        <v>0.05</v>
      </c>
      <c r="J31" s="16">
        <v>0.05</v>
      </c>
      <c r="K31" s="16">
        <v>0.05</v>
      </c>
      <c r="L31" s="16">
        <v>0.05</v>
      </c>
      <c r="M31" s="16">
        <v>0.05</v>
      </c>
      <c r="N31" s="16">
        <v>0.05</v>
      </c>
      <c r="O31" s="16">
        <v>0.05</v>
      </c>
      <c r="P31" s="16">
        <v>0.05</v>
      </c>
      <c r="Q31" s="16">
        <v>0.05</v>
      </c>
      <c r="R31" s="16">
        <v>0.05</v>
      </c>
      <c r="S31" s="16">
        <v>0.05</v>
      </c>
      <c r="T31" s="16">
        <v>0.05</v>
      </c>
      <c r="U31" s="16">
        <v>0.05</v>
      </c>
      <c r="V31" s="16">
        <v>0.05</v>
      </c>
      <c r="W31" s="16">
        <v>0.05</v>
      </c>
      <c r="X31" s="16">
        <v>0.05</v>
      </c>
      <c r="Y31" s="16">
        <v>0.05</v>
      </c>
      <c r="Z31" s="16">
        <v>0.05</v>
      </c>
    </row>
    <row r="32" spans="3:26" x14ac:dyDescent="0.25">
      <c r="C32" s="16">
        <v>0.05</v>
      </c>
      <c r="D32" s="16">
        <v>0.05</v>
      </c>
      <c r="E32" s="16">
        <v>0.05</v>
      </c>
      <c r="F32" s="16">
        <v>0.05</v>
      </c>
      <c r="G32" s="16">
        <v>0.05</v>
      </c>
      <c r="H32" s="16">
        <v>0.05</v>
      </c>
      <c r="I32" s="16">
        <v>0.05</v>
      </c>
      <c r="J32" s="16">
        <v>0.05</v>
      </c>
      <c r="K32" s="16">
        <v>0.05</v>
      </c>
      <c r="L32" s="16">
        <v>0.05</v>
      </c>
      <c r="M32" s="16">
        <v>0.05</v>
      </c>
      <c r="N32" s="16">
        <v>0.05</v>
      </c>
      <c r="O32" s="16">
        <v>0.05</v>
      </c>
      <c r="P32" s="16">
        <v>0.05</v>
      </c>
      <c r="Q32" s="16">
        <v>0.05</v>
      </c>
      <c r="R32" s="16">
        <v>0.05</v>
      </c>
      <c r="S32" s="16">
        <v>0.05</v>
      </c>
      <c r="T32" s="16">
        <v>0.05</v>
      </c>
      <c r="U32" s="16">
        <v>0.05</v>
      </c>
      <c r="V32" s="16">
        <v>0.05</v>
      </c>
      <c r="W32" s="16">
        <v>0.05</v>
      </c>
      <c r="X32" s="16">
        <v>0.05</v>
      </c>
      <c r="Y32" s="16">
        <v>0.05</v>
      </c>
      <c r="Z32" s="16">
        <v>0.05</v>
      </c>
    </row>
    <row r="33" spans="3:26" x14ac:dyDescent="0.25">
      <c r="C33" s="16">
        <v>0.05</v>
      </c>
      <c r="D33" s="16">
        <v>0.05</v>
      </c>
      <c r="E33" s="16">
        <v>0.05</v>
      </c>
      <c r="F33" s="16">
        <v>0.05</v>
      </c>
      <c r="G33" s="16">
        <v>0.05</v>
      </c>
      <c r="H33" s="16">
        <v>0.05</v>
      </c>
      <c r="I33" s="16">
        <v>0.05</v>
      </c>
      <c r="J33" s="16">
        <v>0.05</v>
      </c>
      <c r="K33" s="16">
        <v>0.05</v>
      </c>
      <c r="L33" s="16">
        <v>0.05</v>
      </c>
      <c r="M33" s="16">
        <v>0.05</v>
      </c>
      <c r="N33" s="16">
        <v>0.05</v>
      </c>
      <c r="O33" s="16">
        <v>0.05</v>
      </c>
      <c r="P33" s="16">
        <v>0.05</v>
      </c>
      <c r="Q33" s="16">
        <v>0.05</v>
      </c>
      <c r="R33" s="16">
        <v>0.05</v>
      </c>
      <c r="S33" s="16">
        <v>0.05</v>
      </c>
      <c r="T33" s="16">
        <v>0.05</v>
      </c>
      <c r="U33" s="16">
        <v>0.05</v>
      </c>
      <c r="V33" s="16">
        <v>0.05</v>
      </c>
      <c r="W33" s="16">
        <v>0.05</v>
      </c>
      <c r="X33" s="16">
        <v>0.05</v>
      </c>
      <c r="Y33" s="16">
        <v>0.05</v>
      </c>
      <c r="Z33" s="16">
        <v>0.05</v>
      </c>
    </row>
    <row r="34" spans="3:26" x14ac:dyDescent="0.25">
      <c r="C34" s="16">
        <v>0.05</v>
      </c>
      <c r="D34" s="16">
        <v>0.05</v>
      </c>
      <c r="E34" s="16">
        <v>0.05</v>
      </c>
      <c r="F34" s="16">
        <v>0.05</v>
      </c>
      <c r="G34" s="16">
        <v>0.05</v>
      </c>
      <c r="H34" s="16">
        <v>0.05</v>
      </c>
      <c r="I34" s="16">
        <v>0.05</v>
      </c>
      <c r="J34" s="16">
        <v>0.05</v>
      </c>
      <c r="K34" s="16">
        <v>0.05</v>
      </c>
      <c r="L34" s="16">
        <v>0.05</v>
      </c>
      <c r="M34" s="16">
        <v>0.05</v>
      </c>
      <c r="N34" s="16">
        <v>0.05</v>
      </c>
      <c r="O34" s="16">
        <v>0.05</v>
      </c>
      <c r="P34" s="16">
        <v>0.05</v>
      </c>
      <c r="Q34" s="16">
        <v>0.05</v>
      </c>
      <c r="R34" s="16">
        <v>0.05</v>
      </c>
      <c r="S34" s="16">
        <v>0.05</v>
      </c>
      <c r="T34" s="16">
        <v>0.05</v>
      </c>
      <c r="U34" s="16">
        <v>0.05</v>
      </c>
      <c r="V34" s="16">
        <v>0.05</v>
      </c>
      <c r="W34" s="16">
        <v>0.05</v>
      </c>
      <c r="X34" s="16">
        <v>0.05</v>
      </c>
      <c r="Y34" s="16">
        <v>0.05</v>
      </c>
      <c r="Z34" s="16">
        <v>0.05</v>
      </c>
    </row>
    <row r="35" spans="3:26" x14ac:dyDescent="0.25">
      <c r="C35" s="16">
        <v>0.05</v>
      </c>
      <c r="D35" s="16">
        <v>0.05</v>
      </c>
      <c r="E35" s="16">
        <v>0.05</v>
      </c>
      <c r="F35" s="16">
        <v>0.05</v>
      </c>
      <c r="G35" s="16">
        <v>0.05</v>
      </c>
      <c r="H35" s="16">
        <v>0.05</v>
      </c>
      <c r="I35" s="16">
        <v>0.05</v>
      </c>
      <c r="J35" s="16">
        <v>0.05</v>
      </c>
      <c r="K35" s="16">
        <v>0.05</v>
      </c>
      <c r="L35" s="16">
        <v>0.05</v>
      </c>
      <c r="M35" s="16">
        <v>0.05</v>
      </c>
      <c r="N35" s="16">
        <v>0.05</v>
      </c>
      <c r="O35" s="16">
        <v>0.05</v>
      </c>
      <c r="P35" s="16">
        <v>0.05</v>
      </c>
      <c r="Q35" s="16">
        <v>0.05</v>
      </c>
      <c r="R35" s="16">
        <v>0.05</v>
      </c>
      <c r="S35" s="16">
        <v>0.05</v>
      </c>
      <c r="T35" s="16">
        <v>0.05</v>
      </c>
      <c r="U35" s="16">
        <v>0.05</v>
      </c>
      <c r="V35" s="16">
        <v>0.05</v>
      </c>
      <c r="W35" s="16">
        <v>0.05</v>
      </c>
      <c r="X35" s="16">
        <v>0.05</v>
      </c>
      <c r="Y35" s="16">
        <v>0.05</v>
      </c>
      <c r="Z35" s="16">
        <v>0.05</v>
      </c>
    </row>
    <row r="36" spans="3:26" x14ac:dyDescent="0.25">
      <c r="C36" s="16">
        <v>0.05</v>
      </c>
      <c r="D36" s="16">
        <v>0.05</v>
      </c>
      <c r="E36" s="16">
        <v>0.05</v>
      </c>
      <c r="F36" s="16">
        <v>0.05</v>
      </c>
      <c r="G36" s="16">
        <v>0.05</v>
      </c>
      <c r="H36" s="16">
        <v>0.05</v>
      </c>
      <c r="I36" s="16">
        <v>0.05</v>
      </c>
      <c r="J36" s="16">
        <v>0.05</v>
      </c>
      <c r="K36" s="16">
        <v>0.05</v>
      </c>
      <c r="L36" s="16">
        <v>0.05</v>
      </c>
      <c r="M36" s="16">
        <v>0.05</v>
      </c>
      <c r="N36" s="16">
        <v>0.05</v>
      </c>
      <c r="O36" s="16">
        <v>0.05</v>
      </c>
      <c r="P36" s="16">
        <v>0.05</v>
      </c>
      <c r="Q36" s="16">
        <v>0.05</v>
      </c>
      <c r="R36" s="16">
        <v>0.05</v>
      </c>
      <c r="S36" s="16">
        <v>0.05</v>
      </c>
      <c r="T36" s="16">
        <v>0.05</v>
      </c>
      <c r="U36" s="16">
        <v>0.05</v>
      </c>
      <c r="V36" s="16">
        <v>0.05</v>
      </c>
      <c r="W36" s="16">
        <v>0.05</v>
      </c>
      <c r="X36" s="16">
        <v>0.05</v>
      </c>
      <c r="Y36" s="16">
        <v>0.05</v>
      </c>
      <c r="Z36" s="16">
        <v>0.05</v>
      </c>
    </row>
    <row r="37" spans="3:26" x14ac:dyDescent="0.25">
      <c r="C37" s="16">
        <v>0.05</v>
      </c>
      <c r="D37" s="16">
        <v>0.05</v>
      </c>
      <c r="E37" s="16">
        <v>0.05</v>
      </c>
      <c r="F37" s="16">
        <v>0.05</v>
      </c>
      <c r="G37" s="16">
        <v>0.05</v>
      </c>
      <c r="H37" s="16">
        <v>0.05</v>
      </c>
      <c r="I37" s="16">
        <v>0.05</v>
      </c>
      <c r="J37" s="16">
        <v>0.05</v>
      </c>
      <c r="K37" s="16">
        <v>0.05</v>
      </c>
      <c r="L37" s="16">
        <v>0.05</v>
      </c>
      <c r="M37" s="16">
        <v>0.05</v>
      </c>
      <c r="N37" s="16">
        <v>0.05</v>
      </c>
      <c r="O37" s="16">
        <v>0.05</v>
      </c>
      <c r="P37" s="16">
        <v>0.05</v>
      </c>
      <c r="Q37" s="16">
        <v>0.05</v>
      </c>
      <c r="R37" s="16">
        <v>0.05</v>
      </c>
      <c r="S37" s="16">
        <v>0.05</v>
      </c>
      <c r="T37" s="16">
        <v>0.05</v>
      </c>
      <c r="U37" s="16">
        <v>0.05</v>
      </c>
      <c r="V37" s="16">
        <v>0.05</v>
      </c>
      <c r="W37" s="16">
        <v>0.05</v>
      </c>
      <c r="X37" s="16">
        <v>0.05</v>
      </c>
      <c r="Y37" s="16">
        <v>0.05</v>
      </c>
      <c r="Z37" s="16">
        <v>0.05</v>
      </c>
    </row>
    <row r="38" spans="3:26" x14ac:dyDescent="0.25">
      <c r="C38" s="16">
        <v>0.05</v>
      </c>
      <c r="D38" s="16">
        <v>0.05</v>
      </c>
      <c r="E38" s="16">
        <v>0.05</v>
      </c>
      <c r="F38" s="16">
        <v>0.05</v>
      </c>
      <c r="G38" s="16">
        <v>0.05</v>
      </c>
      <c r="H38" s="16">
        <v>0.05</v>
      </c>
      <c r="I38" s="16">
        <v>0.05</v>
      </c>
      <c r="J38" s="16">
        <v>0.05</v>
      </c>
      <c r="K38" s="16">
        <v>0.05</v>
      </c>
      <c r="L38" s="16">
        <v>0.05</v>
      </c>
      <c r="M38" s="16">
        <v>0.05</v>
      </c>
      <c r="N38" s="16">
        <v>0.05</v>
      </c>
      <c r="O38" s="16">
        <v>0.05</v>
      </c>
      <c r="P38" s="16">
        <v>0.05</v>
      </c>
      <c r="Q38" s="16">
        <v>0.05</v>
      </c>
      <c r="R38" s="16">
        <v>0.05</v>
      </c>
      <c r="S38" s="16">
        <v>0.05</v>
      </c>
      <c r="T38" s="16">
        <v>0.05</v>
      </c>
      <c r="U38" s="16">
        <v>0.05</v>
      </c>
      <c r="V38" s="16">
        <v>0.05</v>
      </c>
      <c r="W38" s="16">
        <v>0.05</v>
      </c>
      <c r="X38" s="16">
        <v>0.05</v>
      </c>
      <c r="Y38" s="16">
        <v>0.05</v>
      </c>
      <c r="Z38" s="16">
        <v>0.05</v>
      </c>
    </row>
    <row r="39" spans="3:26" x14ac:dyDescent="0.25">
      <c r="C39" s="16">
        <v>0.05</v>
      </c>
      <c r="D39" s="16">
        <v>0.05</v>
      </c>
      <c r="E39" s="16">
        <v>0.05</v>
      </c>
      <c r="F39" s="16">
        <v>0.05</v>
      </c>
      <c r="G39" s="16">
        <v>0.05</v>
      </c>
      <c r="H39" s="16">
        <v>0.05</v>
      </c>
      <c r="I39" s="16">
        <v>0.05</v>
      </c>
      <c r="J39" s="16">
        <v>0.05</v>
      </c>
      <c r="K39" s="16">
        <v>0.05</v>
      </c>
      <c r="L39" s="16">
        <v>0.05</v>
      </c>
      <c r="M39" s="16">
        <v>0.05</v>
      </c>
      <c r="N39" s="16">
        <v>0.05</v>
      </c>
      <c r="O39" s="16">
        <v>0.05</v>
      </c>
      <c r="P39" s="16">
        <v>0.05</v>
      </c>
      <c r="Q39" s="16">
        <v>0.05</v>
      </c>
      <c r="R39" s="16">
        <v>0.05</v>
      </c>
      <c r="S39" s="16">
        <v>0.05</v>
      </c>
      <c r="T39" s="16">
        <v>0.05</v>
      </c>
      <c r="U39" s="16">
        <v>0.05</v>
      </c>
      <c r="V39" s="16">
        <v>0.05</v>
      </c>
      <c r="W39" s="16">
        <v>0.05</v>
      </c>
      <c r="X39" s="16">
        <v>0.05</v>
      </c>
      <c r="Y39" s="16">
        <v>0.05</v>
      </c>
      <c r="Z39" s="16">
        <v>0.05</v>
      </c>
    </row>
    <row r="40" spans="3:26" x14ac:dyDescent="0.25">
      <c r="C40" s="16">
        <v>0.05</v>
      </c>
      <c r="D40" s="16">
        <v>0.05</v>
      </c>
      <c r="E40" s="16">
        <v>0.05</v>
      </c>
      <c r="F40" s="16">
        <v>0.05</v>
      </c>
      <c r="G40" s="16">
        <v>0.05</v>
      </c>
      <c r="H40" s="16">
        <v>0.05</v>
      </c>
      <c r="I40" s="16">
        <v>0.05</v>
      </c>
      <c r="J40" s="16">
        <v>0.05</v>
      </c>
      <c r="K40" s="16">
        <v>0.05</v>
      </c>
      <c r="L40" s="16">
        <v>0.05</v>
      </c>
      <c r="M40" s="16">
        <v>0.05</v>
      </c>
      <c r="N40" s="16">
        <v>0.05</v>
      </c>
      <c r="O40" s="16">
        <v>0.05</v>
      </c>
      <c r="P40" s="16">
        <v>0.05</v>
      </c>
      <c r="Q40" s="16">
        <v>0.05</v>
      </c>
      <c r="R40" s="16">
        <v>0.05</v>
      </c>
      <c r="S40" s="16">
        <v>0.05</v>
      </c>
      <c r="T40" s="16">
        <v>0.05</v>
      </c>
      <c r="U40" s="16">
        <v>0.05</v>
      </c>
      <c r="V40" s="16">
        <v>0.05</v>
      </c>
      <c r="W40" s="16">
        <v>0.05</v>
      </c>
      <c r="X40" s="16">
        <v>0.05</v>
      </c>
      <c r="Y40" s="16">
        <v>0.05</v>
      </c>
      <c r="Z40" s="16">
        <v>0.05</v>
      </c>
    </row>
    <row r="41" spans="3:26" x14ac:dyDescent="0.25">
      <c r="C41" s="16">
        <v>0.05</v>
      </c>
      <c r="D41" s="16">
        <v>0.05</v>
      </c>
      <c r="E41" s="16">
        <v>0.05</v>
      </c>
      <c r="F41" s="16">
        <v>0.05</v>
      </c>
      <c r="G41" s="16">
        <v>0.05</v>
      </c>
      <c r="H41" s="16">
        <v>0.05</v>
      </c>
      <c r="I41" s="16">
        <v>0.05</v>
      </c>
      <c r="J41" s="16">
        <v>0.05</v>
      </c>
      <c r="K41" s="16">
        <v>0.05</v>
      </c>
      <c r="L41" s="16">
        <v>0.05</v>
      </c>
      <c r="M41" s="16">
        <v>0.05</v>
      </c>
      <c r="N41" s="16">
        <v>0.05</v>
      </c>
      <c r="O41" s="16">
        <v>0.05</v>
      </c>
      <c r="P41" s="16">
        <v>0.05</v>
      </c>
      <c r="Q41" s="16">
        <v>0.05</v>
      </c>
      <c r="R41" s="16">
        <v>0.05</v>
      </c>
      <c r="S41" s="16">
        <v>0.05</v>
      </c>
      <c r="T41" s="16">
        <v>0.05</v>
      </c>
      <c r="U41" s="16">
        <v>0.05</v>
      </c>
      <c r="V41" s="16">
        <v>0.05</v>
      </c>
      <c r="W41" s="16">
        <v>0.05</v>
      </c>
      <c r="X41" s="16">
        <v>0.05</v>
      </c>
      <c r="Y41" s="16">
        <v>0.05</v>
      </c>
      <c r="Z41" s="16">
        <v>0.05</v>
      </c>
    </row>
    <row r="42" spans="3:26" x14ac:dyDescent="0.25">
      <c r="C42" s="16">
        <v>0.05</v>
      </c>
      <c r="D42" s="16">
        <v>0.05</v>
      </c>
      <c r="E42" s="16">
        <v>0.05</v>
      </c>
      <c r="F42" s="16">
        <v>0.05</v>
      </c>
      <c r="G42" s="16">
        <v>0.05</v>
      </c>
      <c r="H42" s="16">
        <v>0.05</v>
      </c>
      <c r="I42" s="16">
        <v>0.05</v>
      </c>
      <c r="J42" s="16">
        <v>0.05</v>
      </c>
      <c r="K42" s="16">
        <v>0.05</v>
      </c>
      <c r="L42" s="16">
        <v>0.05</v>
      </c>
      <c r="M42" s="16">
        <v>0.05</v>
      </c>
      <c r="N42" s="16">
        <v>0.05</v>
      </c>
      <c r="O42" s="16">
        <v>0.05</v>
      </c>
      <c r="P42" s="16">
        <v>0.05</v>
      </c>
      <c r="Q42" s="16">
        <v>0.05</v>
      </c>
      <c r="R42" s="16">
        <v>0.05</v>
      </c>
      <c r="S42" s="16">
        <v>0.05</v>
      </c>
      <c r="T42" s="16">
        <v>0.05</v>
      </c>
      <c r="U42" s="16">
        <v>0.05</v>
      </c>
      <c r="V42" s="16">
        <v>0.05</v>
      </c>
      <c r="W42" s="16">
        <v>0.05</v>
      </c>
      <c r="X42" s="16">
        <v>0.05</v>
      </c>
      <c r="Y42" s="16">
        <v>0.05</v>
      </c>
      <c r="Z42" s="16">
        <v>0.05</v>
      </c>
    </row>
    <row r="43" spans="3:26" x14ac:dyDescent="0.25">
      <c r="C43" s="16">
        <v>0.05</v>
      </c>
      <c r="D43" s="16">
        <v>0.05</v>
      </c>
      <c r="E43" s="16">
        <v>0.05</v>
      </c>
      <c r="F43" s="16">
        <v>0.05</v>
      </c>
      <c r="G43" s="16">
        <v>0.05</v>
      </c>
      <c r="H43" s="16">
        <v>0.05</v>
      </c>
      <c r="I43" s="16">
        <v>0.05</v>
      </c>
      <c r="J43" s="16">
        <v>0.05</v>
      </c>
      <c r="K43" s="16">
        <v>0.05</v>
      </c>
      <c r="L43" s="16">
        <v>0.05</v>
      </c>
      <c r="M43" s="16">
        <v>0.05</v>
      </c>
      <c r="N43" s="16">
        <v>0.05</v>
      </c>
      <c r="O43" s="16">
        <v>0.05</v>
      </c>
      <c r="P43" s="16">
        <v>0.05</v>
      </c>
      <c r="Q43" s="16">
        <v>0.05</v>
      </c>
      <c r="R43" s="16">
        <v>0.05</v>
      </c>
      <c r="S43" s="16">
        <v>0.05</v>
      </c>
      <c r="T43" s="16">
        <v>0.05</v>
      </c>
      <c r="U43" s="16">
        <v>0.05</v>
      </c>
      <c r="V43" s="16">
        <v>0.05</v>
      </c>
      <c r="W43" s="16">
        <v>0.05</v>
      </c>
      <c r="X43" s="16">
        <v>0.05</v>
      </c>
      <c r="Y43" s="16">
        <v>0.05</v>
      </c>
      <c r="Z43" s="16">
        <v>0.05</v>
      </c>
    </row>
    <row r="44" spans="3:26" x14ac:dyDescent="0.25">
      <c r="C44" s="16">
        <v>0.05</v>
      </c>
      <c r="D44" s="16">
        <v>0.05</v>
      </c>
      <c r="E44" s="16">
        <v>0.05</v>
      </c>
      <c r="F44" s="16">
        <v>0.05</v>
      </c>
      <c r="G44" s="16">
        <v>0.05</v>
      </c>
      <c r="H44" s="16">
        <v>0.05</v>
      </c>
      <c r="I44" s="16">
        <v>0.05</v>
      </c>
      <c r="J44" s="16">
        <v>0.05</v>
      </c>
      <c r="K44" s="16">
        <v>0.05</v>
      </c>
      <c r="L44" s="16">
        <v>0.05</v>
      </c>
      <c r="M44" s="16">
        <v>0.05</v>
      </c>
      <c r="N44" s="16">
        <v>0.05</v>
      </c>
      <c r="O44" s="16">
        <v>0.05</v>
      </c>
      <c r="P44" s="16">
        <v>0.05</v>
      </c>
      <c r="Q44" s="16">
        <v>0.05</v>
      </c>
      <c r="R44" s="16">
        <v>0.05</v>
      </c>
      <c r="S44" s="16">
        <v>0.05</v>
      </c>
      <c r="T44" s="16">
        <v>0.05</v>
      </c>
      <c r="U44" s="16">
        <v>0.05</v>
      </c>
      <c r="V44" s="16">
        <v>0.05</v>
      </c>
      <c r="W44" s="16">
        <v>0.05</v>
      </c>
      <c r="X44" s="16">
        <v>0.05</v>
      </c>
      <c r="Y44" s="16">
        <v>0.05</v>
      </c>
      <c r="Z44" s="16">
        <v>0.05</v>
      </c>
    </row>
    <row r="45" spans="3:26" x14ac:dyDescent="0.25">
      <c r="C45" s="16">
        <v>0.05</v>
      </c>
      <c r="D45" s="16">
        <v>0.05</v>
      </c>
      <c r="E45" s="16">
        <v>0.05</v>
      </c>
      <c r="F45" s="16">
        <v>0.05</v>
      </c>
      <c r="G45" s="16">
        <v>0.05</v>
      </c>
      <c r="H45" s="16">
        <v>0.05</v>
      </c>
      <c r="I45" s="16">
        <v>0.05</v>
      </c>
      <c r="J45" s="16">
        <v>0.05</v>
      </c>
      <c r="K45" s="16">
        <v>0.05</v>
      </c>
      <c r="L45" s="16">
        <v>0.05</v>
      </c>
      <c r="M45" s="16">
        <v>0.05</v>
      </c>
      <c r="N45" s="16">
        <v>0.05</v>
      </c>
      <c r="O45" s="16">
        <v>0.05</v>
      </c>
      <c r="P45" s="16">
        <v>0.05</v>
      </c>
      <c r="Q45" s="16">
        <v>0.05</v>
      </c>
      <c r="R45" s="16">
        <v>0.05</v>
      </c>
      <c r="S45" s="16">
        <v>0.05</v>
      </c>
      <c r="T45" s="16">
        <v>0.05</v>
      </c>
      <c r="U45" s="16">
        <v>0.05</v>
      </c>
      <c r="V45" s="16">
        <v>0.05</v>
      </c>
      <c r="W45" s="16">
        <v>0.05</v>
      </c>
      <c r="X45" s="16">
        <v>0.05</v>
      </c>
      <c r="Y45" s="16">
        <v>0.05</v>
      </c>
      <c r="Z45" s="16">
        <v>0.05</v>
      </c>
    </row>
    <row r="46" spans="3:26" x14ac:dyDescent="0.25">
      <c r="C46" s="16">
        <v>0.05</v>
      </c>
      <c r="D46" s="16">
        <v>0.05</v>
      </c>
      <c r="E46" s="16">
        <v>0.05</v>
      </c>
      <c r="F46" s="16">
        <v>0.05</v>
      </c>
      <c r="G46" s="16">
        <v>0.05</v>
      </c>
      <c r="H46" s="16">
        <v>0.05</v>
      </c>
      <c r="I46" s="16">
        <v>0.05</v>
      </c>
      <c r="J46" s="16">
        <v>0.05</v>
      </c>
      <c r="K46" s="16">
        <v>0.05</v>
      </c>
      <c r="L46" s="16">
        <v>0.05</v>
      </c>
      <c r="M46" s="16">
        <v>0.05</v>
      </c>
      <c r="N46" s="16">
        <v>0.05</v>
      </c>
      <c r="O46" s="16">
        <v>0.05</v>
      </c>
      <c r="P46" s="16">
        <v>0.05</v>
      </c>
      <c r="Q46" s="16">
        <v>0.05</v>
      </c>
      <c r="R46" s="16">
        <v>0.05</v>
      </c>
      <c r="S46" s="16">
        <v>0.05</v>
      </c>
      <c r="T46" s="16">
        <v>0.05</v>
      </c>
      <c r="U46" s="16">
        <v>0.05</v>
      </c>
      <c r="V46" s="16">
        <v>0.05</v>
      </c>
      <c r="W46" s="16">
        <v>0.05</v>
      </c>
      <c r="X46" s="16">
        <v>0.05</v>
      </c>
      <c r="Y46" s="16">
        <v>0.05</v>
      </c>
      <c r="Z46" s="16">
        <v>0.05</v>
      </c>
    </row>
    <row r="47" spans="3:26" x14ac:dyDescent="0.25">
      <c r="C47" s="16">
        <v>0.05</v>
      </c>
      <c r="D47" s="16">
        <v>0.05</v>
      </c>
      <c r="E47" s="16">
        <v>0.05</v>
      </c>
      <c r="F47" s="16">
        <v>0.05</v>
      </c>
      <c r="G47" s="16">
        <v>0.05</v>
      </c>
      <c r="H47" s="16">
        <v>0.05</v>
      </c>
      <c r="I47" s="16">
        <v>0.05</v>
      </c>
      <c r="J47" s="16">
        <v>0.05</v>
      </c>
      <c r="K47" s="16">
        <v>0.05</v>
      </c>
      <c r="L47" s="16">
        <v>0.05</v>
      </c>
      <c r="M47" s="16">
        <v>0.05</v>
      </c>
      <c r="N47" s="16">
        <v>0.05</v>
      </c>
      <c r="O47" s="16">
        <v>0.05</v>
      </c>
      <c r="P47" s="16">
        <v>0.05</v>
      </c>
      <c r="Q47" s="16">
        <v>0.05</v>
      </c>
      <c r="R47" s="16">
        <v>0.05</v>
      </c>
      <c r="S47" s="16">
        <v>0.05</v>
      </c>
      <c r="T47" s="16">
        <v>0.05</v>
      </c>
      <c r="U47" s="16">
        <v>0.05</v>
      </c>
      <c r="V47" s="16">
        <v>0.05</v>
      </c>
      <c r="W47" s="16">
        <v>0.05</v>
      </c>
      <c r="X47" s="16">
        <v>0.05</v>
      </c>
      <c r="Y47" s="16">
        <v>0.05</v>
      </c>
      <c r="Z47" s="16">
        <v>0.05</v>
      </c>
    </row>
    <row r="48" spans="3:26" x14ac:dyDescent="0.25">
      <c r="C48" s="16">
        <v>0.05</v>
      </c>
      <c r="D48" s="16">
        <v>0.05</v>
      </c>
      <c r="E48" s="16">
        <v>0.05</v>
      </c>
      <c r="F48" s="16">
        <v>0.05</v>
      </c>
      <c r="G48" s="16">
        <v>0.05</v>
      </c>
      <c r="H48" s="16">
        <v>0.05</v>
      </c>
      <c r="I48" s="16">
        <v>0.05</v>
      </c>
      <c r="J48" s="16">
        <v>0.05</v>
      </c>
      <c r="K48" s="16">
        <v>0.05</v>
      </c>
      <c r="L48" s="16">
        <v>0.05</v>
      </c>
      <c r="M48" s="16">
        <v>0.05</v>
      </c>
      <c r="N48" s="16">
        <v>0.05</v>
      </c>
      <c r="O48" s="16">
        <v>0.05</v>
      </c>
      <c r="P48" s="16">
        <v>0.05</v>
      </c>
      <c r="Q48" s="16">
        <v>0.05</v>
      </c>
      <c r="R48" s="16">
        <v>0.05</v>
      </c>
      <c r="S48" s="16">
        <v>0.05</v>
      </c>
      <c r="T48" s="16">
        <v>0.05</v>
      </c>
      <c r="U48" s="16">
        <v>0.05</v>
      </c>
      <c r="V48" s="16">
        <v>0.05</v>
      </c>
      <c r="W48" s="16">
        <v>0.05</v>
      </c>
      <c r="X48" s="16">
        <v>0.05</v>
      </c>
      <c r="Y48" s="16">
        <v>0.05</v>
      </c>
      <c r="Z48" s="16">
        <v>0.05</v>
      </c>
    </row>
    <row r="49" spans="3:26" x14ac:dyDescent="0.25">
      <c r="C49" s="16">
        <v>0.05</v>
      </c>
      <c r="D49" s="16">
        <v>0.05</v>
      </c>
      <c r="E49" s="16">
        <v>0.05</v>
      </c>
      <c r="F49" s="16">
        <v>0.05</v>
      </c>
      <c r="G49" s="16">
        <v>0.05</v>
      </c>
      <c r="H49" s="16">
        <v>0.05</v>
      </c>
      <c r="I49" s="16">
        <v>0.05</v>
      </c>
      <c r="J49" s="16">
        <v>0.05</v>
      </c>
      <c r="K49" s="16">
        <v>0.05</v>
      </c>
      <c r="L49" s="16">
        <v>0.05</v>
      </c>
      <c r="M49" s="16">
        <v>0.05</v>
      </c>
      <c r="N49" s="16">
        <v>0.05</v>
      </c>
      <c r="O49" s="16">
        <v>0.05</v>
      </c>
      <c r="P49" s="16">
        <v>0.05</v>
      </c>
      <c r="Q49" s="16">
        <v>0.05</v>
      </c>
      <c r="R49" s="16">
        <v>0.05</v>
      </c>
      <c r="S49" s="16">
        <v>0.05</v>
      </c>
      <c r="T49" s="16">
        <v>0.05</v>
      </c>
      <c r="U49" s="16">
        <v>0.05</v>
      </c>
      <c r="V49" s="16">
        <v>0.05</v>
      </c>
      <c r="W49" s="16">
        <v>0.05</v>
      </c>
      <c r="X49" s="16">
        <v>0.05</v>
      </c>
      <c r="Y49" s="16">
        <v>0.05</v>
      </c>
      <c r="Z49" s="16">
        <v>0.05</v>
      </c>
    </row>
    <row r="50" spans="3:26" x14ac:dyDescent="0.25">
      <c r="C50" s="16">
        <v>0.05</v>
      </c>
      <c r="D50" s="16">
        <v>0.05</v>
      </c>
      <c r="E50" s="16">
        <v>0.05</v>
      </c>
      <c r="F50" s="16">
        <v>0.05</v>
      </c>
      <c r="G50" s="16">
        <v>0.05</v>
      </c>
      <c r="H50" s="16">
        <v>0.05</v>
      </c>
      <c r="I50" s="16">
        <v>0.05</v>
      </c>
      <c r="J50" s="16">
        <v>0.05</v>
      </c>
      <c r="K50" s="16">
        <v>0.05</v>
      </c>
      <c r="L50" s="16">
        <v>0.05</v>
      </c>
      <c r="M50" s="16">
        <v>0.05</v>
      </c>
      <c r="N50" s="16">
        <v>0.05</v>
      </c>
      <c r="O50" s="16">
        <v>0.05</v>
      </c>
      <c r="P50" s="16">
        <v>0.05</v>
      </c>
      <c r="Q50" s="16">
        <v>0.05</v>
      </c>
      <c r="R50" s="16">
        <v>0.05</v>
      </c>
      <c r="S50" s="16">
        <v>0.05</v>
      </c>
      <c r="T50" s="16">
        <v>0.05</v>
      </c>
      <c r="U50" s="16">
        <v>0.05</v>
      </c>
      <c r="V50" s="16">
        <v>0.05</v>
      </c>
      <c r="W50" s="16">
        <v>0.05</v>
      </c>
      <c r="X50" s="16">
        <v>0.05</v>
      </c>
      <c r="Y50" s="16">
        <v>0.05</v>
      </c>
      <c r="Z50" s="16">
        <v>0.05</v>
      </c>
    </row>
    <row r="51" spans="3:26" x14ac:dyDescent="0.25">
      <c r="C51" s="16">
        <v>0.05</v>
      </c>
      <c r="D51" s="16">
        <v>0.05</v>
      </c>
      <c r="E51" s="16">
        <v>0.05</v>
      </c>
      <c r="F51" s="16">
        <v>0.05</v>
      </c>
      <c r="G51" s="16">
        <v>0.05</v>
      </c>
      <c r="H51" s="16">
        <v>0.05</v>
      </c>
      <c r="I51" s="16">
        <v>0.05</v>
      </c>
      <c r="J51" s="16">
        <v>0.05</v>
      </c>
      <c r="K51" s="16">
        <v>0.05</v>
      </c>
      <c r="L51" s="16">
        <v>0.05</v>
      </c>
      <c r="M51" s="16">
        <v>0.05</v>
      </c>
      <c r="N51" s="16">
        <v>0.05</v>
      </c>
      <c r="O51" s="16">
        <v>0.05</v>
      </c>
      <c r="P51" s="16">
        <v>0.05</v>
      </c>
      <c r="Q51" s="16">
        <v>0.05</v>
      </c>
      <c r="R51" s="16">
        <v>0.05</v>
      </c>
      <c r="S51" s="16">
        <v>0.05</v>
      </c>
      <c r="T51" s="16">
        <v>0.05</v>
      </c>
      <c r="U51" s="16">
        <v>0.05</v>
      </c>
      <c r="V51" s="16">
        <v>0.05</v>
      </c>
      <c r="W51" s="16">
        <v>0.05</v>
      </c>
      <c r="X51" s="16">
        <v>0.05</v>
      </c>
      <c r="Y51" s="16">
        <v>0.05</v>
      </c>
      <c r="Z51" s="16">
        <v>0.05</v>
      </c>
    </row>
    <row r="52" spans="3:26" x14ac:dyDescent="0.25">
      <c r="C52" s="16">
        <v>0.05</v>
      </c>
      <c r="D52" s="16">
        <v>0.05</v>
      </c>
      <c r="E52" s="16">
        <v>0.05</v>
      </c>
      <c r="F52" s="16">
        <v>0.05</v>
      </c>
      <c r="G52" s="16">
        <v>0.05</v>
      </c>
      <c r="H52" s="16">
        <v>0.05</v>
      </c>
      <c r="I52" s="16">
        <v>0.05</v>
      </c>
      <c r="J52" s="16">
        <v>0.05</v>
      </c>
      <c r="K52" s="16">
        <v>0.05</v>
      </c>
      <c r="L52" s="16">
        <v>0.05</v>
      </c>
      <c r="M52" s="16">
        <v>0.05</v>
      </c>
      <c r="N52" s="16">
        <v>0.05</v>
      </c>
      <c r="O52" s="16">
        <v>0.05</v>
      </c>
      <c r="P52" s="16">
        <v>0.05</v>
      </c>
      <c r="Q52" s="16">
        <v>0.05</v>
      </c>
      <c r="R52" s="16">
        <v>0.05</v>
      </c>
      <c r="S52" s="16">
        <v>0.05</v>
      </c>
      <c r="T52" s="16">
        <v>0.05</v>
      </c>
      <c r="U52" s="16">
        <v>0.05</v>
      </c>
      <c r="V52" s="16">
        <v>0.05</v>
      </c>
      <c r="W52" s="16">
        <v>0.05</v>
      </c>
      <c r="X52" s="16">
        <v>0.05</v>
      </c>
      <c r="Y52" s="16">
        <v>0.05</v>
      </c>
      <c r="Z52" s="16">
        <v>0.05</v>
      </c>
    </row>
    <row r="53" spans="3:26" x14ac:dyDescent="0.25">
      <c r="C53" s="16">
        <v>0.05</v>
      </c>
      <c r="D53" s="16">
        <v>0.05</v>
      </c>
      <c r="E53" s="16">
        <v>0.05</v>
      </c>
      <c r="F53" s="16">
        <v>0.05</v>
      </c>
      <c r="G53" s="16">
        <v>0.05</v>
      </c>
      <c r="H53" s="16">
        <v>0.05</v>
      </c>
      <c r="I53" s="16">
        <v>0.05</v>
      </c>
      <c r="J53" s="16">
        <v>0.05</v>
      </c>
      <c r="K53" s="16">
        <v>0.05</v>
      </c>
      <c r="L53" s="16">
        <v>0.05</v>
      </c>
      <c r="M53" s="16">
        <v>0.05</v>
      </c>
      <c r="N53" s="16">
        <v>0.05</v>
      </c>
      <c r="O53" s="16">
        <v>0.05</v>
      </c>
      <c r="P53" s="16">
        <v>0.05</v>
      </c>
      <c r="Q53" s="16">
        <v>0.05</v>
      </c>
      <c r="R53" s="16">
        <v>0.05</v>
      </c>
      <c r="S53" s="16">
        <v>0.05</v>
      </c>
      <c r="T53" s="16">
        <v>0.05</v>
      </c>
      <c r="U53" s="16">
        <v>0.05</v>
      </c>
      <c r="V53" s="16">
        <v>0.05</v>
      </c>
      <c r="W53" s="16">
        <v>0.05</v>
      </c>
      <c r="X53" s="16">
        <v>0.05</v>
      </c>
      <c r="Y53" s="16">
        <v>0.05</v>
      </c>
      <c r="Z53" s="16">
        <v>0.05</v>
      </c>
    </row>
    <row r="54" spans="3:26" x14ac:dyDescent="0.25">
      <c r="C54" s="16">
        <v>0.05</v>
      </c>
      <c r="D54" s="16">
        <v>0.05</v>
      </c>
      <c r="E54" s="16">
        <v>0.05</v>
      </c>
      <c r="F54" s="16">
        <v>0.05</v>
      </c>
      <c r="G54" s="16">
        <v>0.05</v>
      </c>
      <c r="H54" s="16">
        <v>0.05</v>
      </c>
      <c r="I54" s="16">
        <v>0.05</v>
      </c>
      <c r="J54" s="16">
        <v>0.05</v>
      </c>
      <c r="K54" s="16">
        <v>0.05</v>
      </c>
      <c r="L54" s="16">
        <v>0.05</v>
      </c>
      <c r="M54" s="16">
        <v>0.05</v>
      </c>
      <c r="N54" s="16">
        <v>0.05</v>
      </c>
      <c r="O54" s="16">
        <v>0.05</v>
      </c>
      <c r="P54" s="16">
        <v>0.05</v>
      </c>
      <c r="Q54" s="16">
        <v>0.05</v>
      </c>
      <c r="R54" s="16">
        <v>0.05</v>
      </c>
      <c r="S54" s="16">
        <v>0.05</v>
      </c>
      <c r="T54" s="16">
        <v>0.05</v>
      </c>
      <c r="U54" s="16">
        <v>0.05</v>
      </c>
      <c r="V54" s="16">
        <v>0.05</v>
      </c>
      <c r="W54" s="16">
        <v>0.05</v>
      </c>
      <c r="X54" s="16">
        <v>0.05</v>
      </c>
      <c r="Y54" s="16">
        <v>0.05</v>
      </c>
      <c r="Z54" s="16">
        <v>0.05</v>
      </c>
    </row>
    <row r="55" spans="3:26" x14ac:dyDescent="0.25">
      <c r="C55" s="16">
        <v>0.05</v>
      </c>
      <c r="D55" s="16">
        <v>0.05</v>
      </c>
      <c r="E55" s="16">
        <v>0.05</v>
      </c>
      <c r="F55" s="16">
        <v>0.05</v>
      </c>
      <c r="G55" s="16">
        <v>0.05</v>
      </c>
      <c r="H55" s="16">
        <v>0.05</v>
      </c>
      <c r="I55" s="16">
        <v>0.05</v>
      </c>
      <c r="J55" s="16">
        <v>0.05</v>
      </c>
      <c r="K55" s="16">
        <v>0.05</v>
      </c>
      <c r="L55" s="16">
        <v>0.05</v>
      </c>
      <c r="M55" s="16">
        <v>0.05</v>
      </c>
      <c r="N55" s="16">
        <v>0.05</v>
      </c>
      <c r="O55" s="16">
        <v>0.05</v>
      </c>
      <c r="P55" s="16">
        <v>0.05</v>
      </c>
      <c r="Q55" s="16">
        <v>0.05</v>
      </c>
      <c r="R55" s="16">
        <v>0.05</v>
      </c>
      <c r="S55" s="16">
        <v>0.05</v>
      </c>
      <c r="T55" s="16">
        <v>0.05</v>
      </c>
      <c r="U55" s="16">
        <v>0.05</v>
      </c>
      <c r="V55" s="16">
        <v>0.05</v>
      </c>
      <c r="W55" s="16">
        <v>0.05</v>
      </c>
      <c r="X55" s="16">
        <v>0.05</v>
      </c>
      <c r="Y55" s="16">
        <v>0.05</v>
      </c>
      <c r="Z55" s="16">
        <v>0.05</v>
      </c>
    </row>
    <row r="56" spans="3:26" x14ac:dyDescent="0.25">
      <c r="C56" s="16">
        <v>0.05</v>
      </c>
      <c r="D56" s="16">
        <v>0.05</v>
      </c>
      <c r="E56" s="16">
        <v>0.05</v>
      </c>
      <c r="F56" s="16">
        <v>0.05</v>
      </c>
      <c r="G56" s="16">
        <v>0.05</v>
      </c>
      <c r="H56" s="16">
        <v>0.05</v>
      </c>
      <c r="I56" s="16">
        <v>0.05</v>
      </c>
      <c r="J56" s="16">
        <v>0.05</v>
      </c>
      <c r="K56" s="16">
        <v>0.05</v>
      </c>
      <c r="L56" s="16">
        <v>0.05</v>
      </c>
      <c r="M56" s="16">
        <v>0.05</v>
      </c>
      <c r="N56" s="16">
        <v>0.05</v>
      </c>
      <c r="O56" s="16">
        <v>0.05</v>
      </c>
      <c r="P56" s="16">
        <v>0.05</v>
      </c>
      <c r="Q56" s="16">
        <v>0.05</v>
      </c>
      <c r="R56" s="16">
        <v>0.05</v>
      </c>
      <c r="S56" s="16">
        <v>0.05</v>
      </c>
      <c r="T56" s="16">
        <v>0.05</v>
      </c>
      <c r="U56" s="16">
        <v>0.05</v>
      </c>
      <c r="V56" s="16">
        <v>0.05</v>
      </c>
      <c r="W56" s="16">
        <v>0.05</v>
      </c>
      <c r="X56" s="16">
        <v>0.05</v>
      </c>
      <c r="Y56" s="16">
        <v>0.05</v>
      </c>
      <c r="Z56" s="16">
        <v>0.05</v>
      </c>
    </row>
    <row r="57" spans="3:26" x14ac:dyDescent="0.25">
      <c r="C57" s="16">
        <v>0.05</v>
      </c>
      <c r="D57" s="16">
        <v>0.05</v>
      </c>
      <c r="E57" s="16">
        <v>0.05</v>
      </c>
      <c r="F57" s="16">
        <v>0.05</v>
      </c>
      <c r="G57" s="16">
        <v>0.05</v>
      </c>
      <c r="H57" s="16">
        <v>0.05</v>
      </c>
      <c r="I57" s="16">
        <v>0.05</v>
      </c>
      <c r="J57" s="16">
        <v>0.05</v>
      </c>
      <c r="K57" s="16">
        <v>0.05</v>
      </c>
      <c r="L57" s="16">
        <v>0.05</v>
      </c>
      <c r="M57" s="16">
        <v>0.05</v>
      </c>
      <c r="N57" s="16">
        <v>0.05</v>
      </c>
      <c r="O57" s="16">
        <v>0.05</v>
      </c>
      <c r="P57" s="16">
        <v>0.05</v>
      </c>
      <c r="Q57" s="16">
        <v>0.05</v>
      </c>
      <c r="R57" s="16">
        <v>0.05</v>
      </c>
      <c r="S57" s="16">
        <v>0.05</v>
      </c>
      <c r="T57" s="16">
        <v>0.05</v>
      </c>
      <c r="U57" s="16">
        <v>0.05</v>
      </c>
      <c r="V57" s="16">
        <v>0.05</v>
      </c>
      <c r="W57" s="16">
        <v>0.05</v>
      </c>
      <c r="X57" s="16">
        <v>0.05</v>
      </c>
      <c r="Y57" s="16">
        <v>0.05</v>
      </c>
      <c r="Z57" s="16">
        <v>0.05</v>
      </c>
    </row>
    <row r="58" spans="3:26" x14ac:dyDescent="0.25">
      <c r="C58" s="16">
        <v>0.05</v>
      </c>
      <c r="D58" s="16">
        <v>0.05</v>
      </c>
      <c r="E58" s="16">
        <v>0.05</v>
      </c>
      <c r="F58" s="16">
        <v>0.05</v>
      </c>
      <c r="G58" s="16">
        <v>0.05</v>
      </c>
      <c r="H58" s="16">
        <v>0.05</v>
      </c>
      <c r="I58" s="16">
        <v>0.05</v>
      </c>
      <c r="J58" s="16">
        <v>0.05</v>
      </c>
      <c r="K58" s="16">
        <v>0.05</v>
      </c>
      <c r="L58" s="16">
        <v>0.05</v>
      </c>
      <c r="M58" s="16">
        <v>0.05</v>
      </c>
      <c r="N58" s="16">
        <v>0.05</v>
      </c>
      <c r="O58" s="16">
        <v>0.05</v>
      </c>
      <c r="P58" s="16">
        <v>0.05</v>
      </c>
      <c r="Q58" s="16">
        <v>0.05</v>
      </c>
      <c r="R58" s="16">
        <v>0.05</v>
      </c>
      <c r="S58" s="16">
        <v>0.05</v>
      </c>
      <c r="T58" s="16">
        <v>0.05</v>
      </c>
      <c r="U58" s="16">
        <v>0.05</v>
      </c>
      <c r="V58" s="16">
        <v>0.05</v>
      </c>
      <c r="W58" s="16">
        <v>0.05</v>
      </c>
      <c r="X58" s="16">
        <v>0.05</v>
      </c>
      <c r="Y58" s="16">
        <v>0.05</v>
      </c>
      <c r="Z58" s="16">
        <v>0.05</v>
      </c>
    </row>
    <row r="59" spans="3:26" x14ac:dyDescent="0.25">
      <c r="C59" s="16">
        <v>0.05</v>
      </c>
      <c r="D59" s="16">
        <v>0.05</v>
      </c>
      <c r="E59" s="16">
        <v>0.05</v>
      </c>
      <c r="F59" s="16">
        <v>0.05</v>
      </c>
      <c r="G59" s="16">
        <v>0.05</v>
      </c>
      <c r="H59" s="16">
        <v>0.05</v>
      </c>
      <c r="I59" s="16">
        <v>0.05</v>
      </c>
      <c r="J59" s="16">
        <v>0.05</v>
      </c>
      <c r="K59" s="16">
        <v>0.05</v>
      </c>
      <c r="L59" s="16">
        <v>0.05</v>
      </c>
      <c r="M59" s="16">
        <v>0.05</v>
      </c>
      <c r="N59" s="16">
        <v>0.05</v>
      </c>
      <c r="O59" s="16">
        <v>0.05</v>
      </c>
      <c r="P59" s="16">
        <v>0.05</v>
      </c>
      <c r="Q59" s="16">
        <v>0.05</v>
      </c>
      <c r="R59" s="16">
        <v>0.05</v>
      </c>
      <c r="S59" s="16">
        <v>0.05</v>
      </c>
      <c r="T59" s="16">
        <v>0.05</v>
      </c>
      <c r="U59" s="16">
        <v>0.05</v>
      </c>
      <c r="V59" s="16">
        <v>0.05</v>
      </c>
      <c r="W59" s="16">
        <v>0.05</v>
      </c>
      <c r="X59" s="16">
        <v>0.05</v>
      </c>
      <c r="Y59" s="16">
        <v>0.05</v>
      </c>
      <c r="Z59" s="16">
        <v>0.05</v>
      </c>
    </row>
    <row r="60" spans="3:26" x14ac:dyDescent="0.25">
      <c r="C60" s="16">
        <v>0.05</v>
      </c>
      <c r="D60" s="16">
        <v>0.05</v>
      </c>
      <c r="E60" s="16">
        <v>0.05</v>
      </c>
      <c r="F60" s="16">
        <v>0.05</v>
      </c>
      <c r="G60" s="16">
        <v>0.05</v>
      </c>
      <c r="H60" s="16">
        <v>0.05</v>
      </c>
      <c r="I60" s="16">
        <v>0.05</v>
      </c>
      <c r="J60" s="16">
        <v>0.05</v>
      </c>
      <c r="K60" s="16">
        <v>0.05</v>
      </c>
      <c r="L60" s="16">
        <v>0.05</v>
      </c>
      <c r="M60" s="16">
        <v>0.05</v>
      </c>
      <c r="N60" s="16">
        <v>0.05</v>
      </c>
      <c r="O60" s="16">
        <v>0.05</v>
      </c>
      <c r="P60" s="16">
        <v>0.05</v>
      </c>
      <c r="Q60" s="16">
        <v>0.05</v>
      </c>
      <c r="R60" s="16">
        <v>0.05</v>
      </c>
      <c r="S60" s="16">
        <v>0.05</v>
      </c>
      <c r="T60" s="16">
        <v>0.05</v>
      </c>
      <c r="U60" s="16">
        <v>0.05</v>
      </c>
      <c r="V60" s="16">
        <v>0.05</v>
      </c>
      <c r="W60" s="16">
        <v>0.05</v>
      </c>
      <c r="X60" s="16">
        <v>0.05</v>
      </c>
      <c r="Y60" s="16">
        <v>0.05</v>
      </c>
      <c r="Z60" s="16">
        <v>0.05</v>
      </c>
    </row>
    <row r="61" spans="3:26" x14ac:dyDescent="0.25">
      <c r="C61" s="16">
        <v>0.05</v>
      </c>
      <c r="D61" s="16">
        <v>0.05</v>
      </c>
      <c r="E61" s="16">
        <v>0.05</v>
      </c>
      <c r="F61" s="16">
        <v>0.05</v>
      </c>
      <c r="G61" s="16">
        <v>0.05</v>
      </c>
      <c r="H61" s="16">
        <v>0.05</v>
      </c>
      <c r="I61" s="16">
        <v>0.05</v>
      </c>
      <c r="J61" s="16">
        <v>0.05</v>
      </c>
      <c r="K61" s="16">
        <v>0.05</v>
      </c>
      <c r="L61" s="16">
        <v>0.05</v>
      </c>
      <c r="M61" s="16">
        <v>0.05</v>
      </c>
      <c r="N61" s="16">
        <v>0.05</v>
      </c>
      <c r="O61" s="16">
        <v>0.05</v>
      </c>
      <c r="P61" s="16">
        <v>0.05</v>
      </c>
      <c r="Q61" s="16">
        <v>0.05</v>
      </c>
      <c r="R61" s="16">
        <v>0.05</v>
      </c>
      <c r="S61" s="16">
        <v>0.05</v>
      </c>
      <c r="T61" s="16">
        <v>0.05</v>
      </c>
      <c r="U61" s="16">
        <v>0.05</v>
      </c>
      <c r="V61" s="16">
        <v>0.05</v>
      </c>
      <c r="W61" s="16">
        <v>0.05</v>
      </c>
      <c r="X61" s="16">
        <v>0.05</v>
      </c>
      <c r="Y61" s="16">
        <v>0.05</v>
      </c>
      <c r="Z61" s="16">
        <v>0.05</v>
      </c>
    </row>
    <row r="62" spans="3:26" x14ac:dyDescent="0.25">
      <c r="C62" s="16">
        <v>0.05</v>
      </c>
      <c r="D62" s="16">
        <v>0.05</v>
      </c>
      <c r="E62" s="16">
        <v>0.05</v>
      </c>
      <c r="F62" s="16">
        <v>0.05</v>
      </c>
      <c r="G62" s="16">
        <v>0.05</v>
      </c>
      <c r="H62" s="16">
        <v>0.05</v>
      </c>
      <c r="I62" s="16">
        <v>0.05</v>
      </c>
      <c r="J62" s="16">
        <v>0.05</v>
      </c>
      <c r="K62" s="16">
        <v>0.05</v>
      </c>
      <c r="L62" s="16">
        <v>0.05</v>
      </c>
      <c r="M62" s="16">
        <v>0.05</v>
      </c>
      <c r="N62" s="16">
        <v>0.05</v>
      </c>
      <c r="O62" s="16">
        <v>0.05</v>
      </c>
      <c r="P62" s="16">
        <v>0.05</v>
      </c>
      <c r="Q62" s="16">
        <v>0.05</v>
      </c>
      <c r="R62" s="16">
        <v>0.05</v>
      </c>
      <c r="S62" s="16">
        <v>0.05</v>
      </c>
      <c r="T62" s="16">
        <v>0.05</v>
      </c>
      <c r="U62" s="16">
        <v>0.05</v>
      </c>
      <c r="V62" s="16">
        <v>0.05</v>
      </c>
      <c r="W62" s="16">
        <v>0.05</v>
      </c>
      <c r="X62" s="16">
        <v>0.05</v>
      </c>
      <c r="Y62" s="16">
        <v>0.05</v>
      </c>
      <c r="Z62" s="16">
        <v>0.05</v>
      </c>
    </row>
    <row r="63" spans="3:26" x14ac:dyDescent="0.25">
      <c r="C63" s="16">
        <v>0.05</v>
      </c>
      <c r="D63" s="16">
        <v>0.05</v>
      </c>
      <c r="E63" s="16">
        <v>0.05</v>
      </c>
      <c r="F63" s="16">
        <v>0.05</v>
      </c>
      <c r="G63" s="16">
        <v>0.05</v>
      </c>
      <c r="H63" s="16">
        <v>0.05</v>
      </c>
      <c r="I63" s="16">
        <v>0.05</v>
      </c>
      <c r="J63" s="16">
        <v>0.05</v>
      </c>
      <c r="K63" s="16">
        <v>0.05</v>
      </c>
      <c r="L63" s="16">
        <v>0.05</v>
      </c>
      <c r="M63" s="16">
        <v>0.05</v>
      </c>
      <c r="N63" s="16">
        <v>0.05</v>
      </c>
      <c r="O63" s="16">
        <v>0.05</v>
      </c>
      <c r="P63" s="16">
        <v>0.05</v>
      </c>
      <c r="Q63" s="16">
        <v>0.05</v>
      </c>
      <c r="R63" s="16">
        <v>0.05</v>
      </c>
      <c r="S63" s="16">
        <v>0.05</v>
      </c>
      <c r="T63" s="16">
        <v>0.05</v>
      </c>
      <c r="U63" s="16">
        <v>0.05</v>
      </c>
      <c r="V63" s="16">
        <v>0.05</v>
      </c>
      <c r="W63" s="16">
        <v>0.05</v>
      </c>
      <c r="X63" s="16">
        <v>0.05</v>
      </c>
      <c r="Y63" s="16">
        <v>0.05</v>
      </c>
      <c r="Z63" s="16">
        <v>0.05</v>
      </c>
    </row>
    <row r="64" spans="3:26" x14ac:dyDescent="0.25"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</row>
  </sheetData>
  <mergeCells count="1"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0ED5-099F-4DB0-BE88-FECE4A6174C5}">
  <sheetPr codeName="Sheet5"/>
  <dimension ref="A1:CFK64"/>
  <sheetViews>
    <sheetView zoomScale="130" zoomScaleNormal="130" workbookViewId="0">
      <selection activeCell="B6" sqref="B6"/>
    </sheetView>
  </sheetViews>
  <sheetFormatPr defaultColWidth="11.7109375" defaultRowHeight="15.75" x14ac:dyDescent="0.25"/>
  <cols>
    <col min="1" max="1" width="3" style="1" customWidth="1"/>
    <col min="2" max="2" width="13.7109375" style="2" customWidth="1"/>
    <col min="3" max="3" width="25.28515625" style="3" customWidth="1"/>
    <col min="4" max="4" width="17.7109375" style="3" customWidth="1"/>
    <col min="5" max="5" width="19.7109375" style="3" customWidth="1"/>
    <col min="6" max="16384" width="11.7109375" style="3"/>
  </cols>
  <sheetData>
    <row r="1" spans="1:2195" s="1" customFormat="1" x14ac:dyDescent="0.25"/>
    <row r="2" spans="1:2195" s="2" customFormat="1" ht="32.450000000000003" customHeight="1" x14ac:dyDescent="0.25">
      <c r="A2" s="1"/>
      <c r="B2" s="52" t="s">
        <v>36</v>
      </c>
      <c r="C2" s="52"/>
      <c r="D2" s="52"/>
      <c r="E2" s="14"/>
      <c r="F2" s="14"/>
    </row>
    <row r="3" spans="1:2195" s="2" customFormat="1" ht="32.450000000000003" customHeight="1" x14ac:dyDescent="0.25">
      <c r="A3" s="1"/>
      <c r="B3" s="15" t="s">
        <v>21</v>
      </c>
      <c r="C3" s="18" t="s">
        <v>37</v>
      </c>
      <c r="D3" s="5"/>
      <c r="E3" s="14"/>
      <c r="F3" s="14"/>
    </row>
    <row r="4" spans="1:2195" s="2" customFormat="1" ht="13.9" customHeight="1" x14ac:dyDescent="0.25">
      <c r="A4" s="1"/>
      <c r="B4" s="5"/>
      <c r="C4" s="17" t="s">
        <v>20</v>
      </c>
      <c r="D4" s="5"/>
      <c r="E4" s="14"/>
      <c r="F4" s="14"/>
    </row>
    <row r="5" spans="1:2195" x14ac:dyDescent="0.25">
      <c r="B5" s="17" t="s">
        <v>19</v>
      </c>
      <c r="C5" s="16">
        <f>$B$9</f>
        <v>7.943300000000001E-5</v>
      </c>
      <c r="D5" s="16">
        <f t="shared" ref="D5:Z16" si="0">$B$9</f>
        <v>7.943300000000001E-5</v>
      </c>
      <c r="E5" s="16">
        <f t="shared" si="0"/>
        <v>7.943300000000001E-5</v>
      </c>
      <c r="F5" s="16">
        <f t="shared" si="0"/>
        <v>7.943300000000001E-5</v>
      </c>
      <c r="G5" s="16">
        <f t="shared" si="0"/>
        <v>7.943300000000001E-5</v>
      </c>
      <c r="H5" s="16">
        <f t="shared" si="0"/>
        <v>7.943300000000001E-5</v>
      </c>
      <c r="I5" s="16">
        <f t="shared" si="0"/>
        <v>7.943300000000001E-5</v>
      </c>
      <c r="J5" s="16">
        <f t="shared" si="0"/>
        <v>7.943300000000001E-5</v>
      </c>
      <c r="K5" s="16">
        <f t="shared" si="0"/>
        <v>7.943300000000001E-5</v>
      </c>
      <c r="L5" s="16">
        <f t="shared" si="0"/>
        <v>7.943300000000001E-5</v>
      </c>
      <c r="M5" s="16">
        <f t="shared" si="0"/>
        <v>7.943300000000001E-5</v>
      </c>
      <c r="N5" s="16">
        <f t="shared" si="0"/>
        <v>7.943300000000001E-5</v>
      </c>
      <c r="O5" s="16">
        <f t="shared" si="0"/>
        <v>7.943300000000001E-5</v>
      </c>
      <c r="P5" s="16">
        <f t="shared" si="0"/>
        <v>7.943300000000001E-5</v>
      </c>
      <c r="Q5" s="16">
        <f t="shared" si="0"/>
        <v>7.943300000000001E-5</v>
      </c>
      <c r="R5" s="16">
        <f t="shared" si="0"/>
        <v>7.943300000000001E-5</v>
      </c>
      <c r="S5" s="16">
        <f t="shared" si="0"/>
        <v>7.943300000000001E-5</v>
      </c>
      <c r="T5" s="16">
        <f t="shared" si="0"/>
        <v>7.943300000000001E-5</v>
      </c>
      <c r="U5" s="16">
        <f t="shared" si="0"/>
        <v>7.943300000000001E-5</v>
      </c>
      <c r="V5" s="16">
        <f t="shared" si="0"/>
        <v>7.943300000000001E-5</v>
      </c>
      <c r="W5" s="16">
        <f t="shared" si="0"/>
        <v>7.943300000000001E-5</v>
      </c>
      <c r="X5" s="16">
        <f t="shared" si="0"/>
        <v>7.943300000000001E-5</v>
      </c>
      <c r="Y5" s="16">
        <f t="shared" si="0"/>
        <v>7.943300000000001E-5</v>
      </c>
      <c r="Z5" s="16">
        <f t="shared" si="0"/>
        <v>7.943300000000001E-5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</row>
    <row r="6" spans="1:2195" x14ac:dyDescent="0.25">
      <c r="B6" s="2">
        <f>7.9433*10^(-5)</f>
        <v>7.943300000000001E-5</v>
      </c>
      <c r="C6" s="16">
        <f t="shared" ref="C6:R32" si="1">$B$9</f>
        <v>7.943300000000001E-5</v>
      </c>
      <c r="D6" s="16">
        <f t="shared" si="0"/>
        <v>7.943300000000001E-5</v>
      </c>
      <c r="E6" s="16">
        <f t="shared" si="0"/>
        <v>7.943300000000001E-5</v>
      </c>
      <c r="F6" s="16">
        <f t="shared" si="0"/>
        <v>7.943300000000001E-5</v>
      </c>
      <c r="G6" s="16">
        <f t="shared" si="0"/>
        <v>7.943300000000001E-5</v>
      </c>
      <c r="H6" s="16">
        <f t="shared" si="0"/>
        <v>7.943300000000001E-5</v>
      </c>
      <c r="I6" s="16">
        <f t="shared" si="0"/>
        <v>7.943300000000001E-5</v>
      </c>
      <c r="J6" s="16">
        <f t="shared" si="0"/>
        <v>7.943300000000001E-5</v>
      </c>
      <c r="K6" s="16">
        <f t="shared" si="0"/>
        <v>7.943300000000001E-5</v>
      </c>
      <c r="L6" s="16">
        <f t="shared" si="0"/>
        <v>7.943300000000001E-5</v>
      </c>
      <c r="M6" s="16">
        <f t="shared" si="0"/>
        <v>7.943300000000001E-5</v>
      </c>
      <c r="N6" s="16">
        <f t="shared" si="0"/>
        <v>7.943300000000001E-5</v>
      </c>
      <c r="O6" s="16">
        <f t="shared" si="0"/>
        <v>7.943300000000001E-5</v>
      </c>
      <c r="P6" s="16">
        <f t="shared" si="0"/>
        <v>7.943300000000001E-5</v>
      </c>
      <c r="Q6" s="16">
        <f t="shared" si="0"/>
        <v>7.943300000000001E-5</v>
      </c>
      <c r="R6" s="16">
        <f t="shared" si="0"/>
        <v>7.943300000000001E-5</v>
      </c>
      <c r="S6" s="16">
        <f t="shared" si="0"/>
        <v>7.943300000000001E-5</v>
      </c>
      <c r="T6" s="16">
        <f t="shared" si="0"/>
        <v>7.943300000000001E-5</v>
      </c>
      <c r="U6" s="16">
        <f t="shared" si="0"/>
        <v>7.943300000000001E-5</v>
      </c>
      <c r="V6" s="16">
        <f t="shared" si="0"/>
        <v>7.943300000000001E-5</v>
      </c>
      <c r="W6" s="16">
        <f t="shared" si="0"/>
        <v>7.943300000000001E-5</v>
      </c>
      <c r="X6" s="16">
        <f t="shared" si="0"/>
        <v>7.943300000000001E-5</v>
      </c>
      <c r="Y6" s="16">
        <f t="shared" si="0"/>
        <v>7.943300000000001E-5</v>
      </c>
      <c r="Z6" s="16">
        <f t="shared" si="0"/>
        <v>7.943300000000001E-5</v>
      </c>
    </row>
    <row r="7" spans="1:2195" x14ac:dyDescent="0.25">
      <c r="B7" s="2" t="s">
        <v>46</v>
      </c>
      <c r="C7" s="16">
        <f t="shared" si="1"/>
        <v>7.943300000000001E-5</v>
      </c>
      <c r="D7" s="16">
        <f t="shared" si="0"/>
        <v>7.943300000000001E-5</v>
      </c>
      <c r="E7" s="16">
        <f t="shared" si="0"/>
        <v>7.943300000000001E-5</v>
      </c>
      <c r="F7" s="16">
        <f t="shared" si="0"/>
        <v>7.943300000000001E-5</v>
      </c>
      <c r="G7" s="16">
        <f t="shared" si="0"/>
        <v>7.943300000000001E-5</v>
      </c>
      <c r="H7" s="16">
        <f t="shared" si="0"/>
        <v>7.943300000000001E-5</v>
      </c>
      <c r="I7" s="16">
        <f t="shared" si="0"/>
        <v>7.943300000000001E-5</v>
      </c>
      <c r="J7" s="16">
        <f t="shared" si="0"/>
        <v>7.943300000000001E-5</v>
      </c>
      <c r="K7" s="16">
        <f t="shared" si="0"/>
        <v>7.943300000000001E-5</v>
      </c>
      <c r="L7" s="16">
        <f t="shared" si="0"/>
        <v>7.943300000000001E-5</v>
      </c>
      <c r="M7" s="16">
        <f t="shared" si="0"/>
        <v>7.943300000000001E-5</v>
      </c>
      <c r="N7" s="16">
        <f t="shared" si="0"/>
        <v>7.943300000000001E-5</v>
      </c>
      <c r="O7" s="16">
        <f t="shared" si="0"/>
        <v>7.943300000000001E-5</v>
      </c>
      <c r="P7" s="16">
        <f t="shared" si="0"/>
        <v>7.943300000000001E-5</v>
      </c>
      <c r="Q7" s="16">
        <f t="shared" si="0"/>
        <v>7.943300000000001E-5</v>
      </c>
      <c r="R7" s="16">
        <f t="shared" si="0"/>
        <v>7.943300000000001E-5</v>
      </c>
      <c r="S7" s="16">
        <f t="shared" si="0"/>
        <v>7.943300000000001E-5</v>
      </c>
      <c r="T7" s="16">
        <f t="shared" si="0"/>
        <v>7.943300000000001E-5</v>
      </c>
      <c r="U7" s="16">
        <f t="shared" si="0"/>
        <v>7.943300000000001E-5</v>
      </c>
      <c r="V7" s="16">
        <f t="shared" si="0"/>
        <v>7.943300000000001E-5</v>
      </c>
      <c r="W7" s="16">
        <f t="shared" si="0"/>
        <v>7.943300000000001E-5</v>
      </c>
      <c r="X7" s="16">
        <f t="shared" si="0"/>
        <v>7.943300000000001E-5</v>
      </c>
      <c r="Y7" s="16">
        <f t="shared" si="0"/>
        <v>7.943300000000001E-5</v>
      </c>
      <c r="Z7" s="16">
        <f t="shared" si="0"/>
        <v>7.943300000000001E-5</v>
      </c>
    </row>
    <row r="8" spans="1:2195" x14ac:dyDescent="0.25">
      <c r="B8" s="2">
        <v>1</v>
      </c>
      <c r="C8" s="16">
        <f t="shared" si="1"/>
        <v>7.943300000000001E-5</v>
      </c>
      <c r="D8" s="16">
        <f t="shared" si="0"/>
        <v>7.943300000000001E-5</v>
      </c>
      <c r="E8" s="16">
        <f t="shared" si="0"/>
        <v>7.943300000000001E-5</v>
      </c>
      <c r="F8" s="16">
        <f t="shared" si="0"/>
        <v>7.943300000000001E-5</v>
      </c>
      <c r="G8" s="16">
        <f t="shared" si="0"/>
        <v>7.943300000000001E-5</v>
      </c>
      <c r="H8" s="16">
        <f t="shared" si="0"/>
        <v>7.943300000000001E-5</v>
      </c>
      <c r="I8" s="16">
        <f t="shared" si="0"/>
        <v>7.943300000000001E-5</v>
      </c>
      <c r="J8" s="16">
        <f t="shared" si="0"/>
        <v>7.943300000000001E-5</v>
      </c>
      <c r="K8" s="16">
        <f t="shared" si="0"/>
        <v>7.943300000000001E-5</v>
      </c>
      <c r="L8" s="16">
        <f t="shared" si="0"/>
        <v>7.943300000000001E-5</v>
      </c>
      <c r="M8" s="16">
        <f t="shared" si="0"/>
        <v>7.943300000000001E-5</v>
      </c>
      <c r="N8" s="16">
        <f t="shared" si="0"/>
        <v>7.943300000000001E-5</v>
      </c>
      <c r="O8" s="16">
        <f t="shared" si="0"/>
        <v>7.943300000000001E-5</v>
      </c>
      <c r="P8" s="16">
        <f t="shared" si="0"/>
        <v>7.943300000000001E-5</v>
      </c>
      <c r="Q8" s="16">
        <f t="shared" si="0"/>
        <v>7.943300000000001E-5</v>
      </c>
      <c r="R8" s="16">
        <f t="shared" si="0"/>
        <v>7.943300000000001E-5</v>
      </c>
      <c r="S8" s="16">
        <f t="shared" si="0"/>
        <v>7.943300000000001E-5</v>
      </c>
      <c r="T8" s="16">
        <f t="shared" si="0"/>
        <v>7.943300000000001E-5</v>
      </c>
      <c r="U8" s="16">
        <f t="shared" si="0"/>
        <v>7.943300000000001E-5</v>
      </c>
      <c r="V8" s="16">
        <f t="shared" si="0"/>
        <v>7.943300000000001E-5</v>
      </c>
      <c r="W8" s="16">
        <f t="shared" si="0"/>
        <v>7.943300000000001E-5</v>
      </c>
      <c r="X8" s="16">
        <f t="shared" si="0"/>
        <v>7.943300000000001E-5</v>
      </c>
      <c r="Y8" s="16">
        <f t="shared" si="0"/>
        <v>7.943300000000001E-5</v>
      </c>
      <c r="Z8" s="16">
        <f t="shared" si="0"/>
        <v>7.943300000000001E-5</v>
      </c>
    </row>
    <row r="9" spans="1:2195" x14ac:dyDescent="0.25">
      <c r="B9" s="2">
        <f>B6*B8</f>
        <v>7.943300000000001E-5</v>
      </c>
      <c r="C9" s="16">
        <f t="shared" si="1"/>
        <v>7.943300000000001E-5</v>
      </c>
      <c r="D9" s="16">
        <f t="shared" si="0"/>
        <v>7.943300000000001E-5</v>
      </c>
      <c r="E9" s="16">
        <f t="shared" si="0"/>
        <v>7.943300000000001E-5</v>
      </c>
      <c r="F9" s="16">
        <f t="shared" si="0"/>
        <v>7.943300000000001E-5</v>
      </c>
      <c r="G9" s="16">
        <f t="shared" si="0"/>
        <v>7.943300000000001E-5</v>
      </c>
      <c r="H9" s="16">
        <f t="shared" si="0"/>
        <v>7.943300000000001E-5</v>
      </c>
      <c r="I9" s="16">
        <f t="shared" si="0"/>
        <v>7.943300000000001E-5</v>
      </c>
      <c r="J9" s="16">
        <f t="shared" si="0"/>
        <v>7.943300000000001E-5</v>
      </c>
      <c r="K9" s="16">
        <f t="shared" si="0"/>
        <v>7.943300000000001E-5</v>
      </c>
      <c r="L9" s="16">
        <f t="shared" si="0"/>
        <v>7.943300000000001E-5</v>
      </c>
      <c r="M9" s="16">
        <f t="shared" si="0"/>
        <v>7.943300000000001E-5</v>
      </c>
      <c r="N9" s="16">
        <f t="shared" si="0"/>
        <v>7.943300000000001E-5</v>
      </c>
      <c r="O9" s="16">
        <f t="shared" si="0"/>
        <v>7.943300000000001E-5</v>
      </c>
      <c r="P9" s="16">
        <f t="shared" si="0"/>
        <v>7.943300000000001E-5</v>
      </c>
      <c r="Q9" s="16">
        <f t="shared" si="0"/>
        <v>7.943300000000001E-5</v>
      </c>
      <c r="R9" s="16">
        <f t="shared" si="0"/>
        <v>7.943300000000001E-5</v>
      </c>
      <c r="S9" s="16">
        <f t="shared" si="0"/>
        <v>7.943300000000001E-5</v>
      </c>
      <c r="T9" s="16">
        <f t="shared" si="0"/>
        <v>7.943300000000001E-5</v>
      </c>
      <c r="U9" s="16">
        <f t="shared" si="0"/>
        <v>7.943300000000001E-5</v>
      </c>
      <c r="V9" s="16">
        <f t="shared" si="0"/>
        <v>7.943300000000001E-5</v>
      </c>
      <c r="W9" s="16">
        <f t="shared" si="0"/>
        <v>7.943300000000001E-5</v>
      </c>
      <c r="X9" s="16">
        <f t="shared" si="0"/>
        <v>7.943300000000001E-5</v>
      </c>
      <c r="Y9" s="16">
        <f t="shared" si="0"/>
        <v>7.943300000000001E-5</v>
      </c>
      <c r="Z9" s="16">
        <f t="shared" si="0"/>
        <v>7.943300000000001E-5</v>
      </c>
    </row>
    <row r="10" spans="1:2195" x14ac:dyDescent="0.25">
      <c r="C10" s="16">
        <f t="shared" si="1"/>
        <v>7.943300000000001E-5</v>
      </c>
      <c r="D10" s="16">
        <f t="shared" si="0"/>
        <v>7.943300000000001E-5</v>
      </c>
      <c r="E10" s="16">
        <f t="shared" si="0"/>
        <v>7.943300000000001E-5</v>
      </c>
      <c r="F10" s="16">
        <f t="shared" si="0"/>
        <v>7.943300000000001E-5</v>
      </c>
      <c r="G10" s="16">
        <f t="shared" si="0"/>
        <v>7.943300000000001E-5</v>
      </c>
      <c r="H10" s="16">
        <f t="shared" si="0"/>
        <v>7.943300000000001E-5</v>
      </c>
      <c r="I10" s="16">
        <f t="shared" si="0"/>
        <v>7.943300000000001E-5</v>
      </c>
      <c r="J10" s="16">
        <f t="shared" si="0"/>
        <v>7.943300000000001E-5</v>
      </c>
      <c r="K10" s="16">
        <f t="shared" si="0"/>
        <v>7.943300000000001E-5</v>
      </c>
      <c r="L10" s="16">
        <f t="shared" si="0"/>
        <v>7.943300000000001E-5</v>
      </c>
      <c r="M10" s="16">
        <f t="shared" si="0"/>
        <v>7.943300000000001E-5</v>
      </c>
      <c r="N10" s="16">
        <f t="shared" si="0"/>
        <v>7.943300000000001E-5</v>
      </c>
      <c r="O10" s="16">
        <f t="shared" si="0"/>
        <v>7.943300000000001E-5</v>
      </c>
      <c r="P10" s="16">
        <f t="shared" si="0"/>
        <v>7.943300000000001E-5</v>
      </c>
      <c r="Q10" s="16">
        <f t="shared" si="0"/>
        <v>7.943300000000001E-5</v>
      </c>
      <c r="R10" s="16">
        <f t="shared" si="0"/>
        <v>7.943300000000001E-5</v>
      </c>
      <c r="S10" s="16">
        <f t="shared" si="0"/>
        <v>7.943300000000001E-5</v>
      </c>
      <c r="T10" s="16">
        <f t="shared" si="0"/>
        <v>7.943300000000001E-5</v>
      </c>
      <c r="U10" s="16">
        <f t="shared" si="0"/>
        <v>7.943300000000001E-5</v>
      </c>
      <c r="V10" s="16">
        <f t="shared" si="0"/>
        <v>7.943300000000001E-5</v>
      </c>
      <c r="W10" s="16">
        <f t="shared" si="0"/>
        <v>7.943300000000001E-5</v>
      </c>
      <c r="X10" s="16">
        <f t="shared" si="0"/>
        <v>7.943300000000001E-5</v>
      </c>
      <c r="Y10" s="16">
        <f t="shared" si="0"/>
        <v>7.943300000000001E-5</v>
      </c>
      <c r="Z10" s="16">
        <f t="shared" si="0"/>
        <v>7.943300000000001E-5</v>
      </c>
    </row>
    <row r="11" spans="1:2195" x14ac:dyDescent="0.25">
      <c r="C11" s="16">
        <f t="shared" si="1"/>
        <v>7.943300000000001E-5</v>
      </c>
      <c r="D11" s="16">
        <f t="shared" si="0"/>
        <v>7.943300000000001E-5</v>
      </c>
      <c r="E11" s="16">
        <f t="shared" si="0"/>
        <v>7.943300000000001E-5</v>
      </c>
      <c r="F11" s="16">
        <f t="shared" si="0"/>
        <v>7.943300000000001E-5</v>
      </c>
      <c r="G11" s="16">
        <f t="shared" si="0"/>
        <v>7.943300000000001E-5</v>
      </c>
      <c r="H11" s="16">
        <f t="shared" si="0"/>
        <v>7.943300000000001E-5</v>
      </c>
      <c r="I11" s="16">
        <f t="shared" si="0"/>
        <v>7.943300000000001E-5</v>
      </c>
      <c r="J11" s="16">
        <f t="shared" si="0"/>
        <v>7.943300000000001E-5</v>
      </c>
      <c r="K11" s="16">
        <f t="shared" si="0"/>
        <v>7.943300000000001E-5</v>
      </c>
      <c r="L11" s="16">
        <f t="shared" si="0"/>
        <v>7.943300000000001E-5</v>
      </c>
      <c r="M11" s="16">
        <f t="shared" si="0"/>
        <v>7.943300000000001E-5</v>
      </c>
      <c r="N11" s="16">
        <f t="shared" si="0"/>
        <v>7.943300000000001E-5</v>
      </c>
      <c r="O11" s="16">
        <f t="shared" si="0"/>
        <v>7.943300000000001E-5</v>
      </c>
      <c r="P11" s="16">
        <f t="shared" si="0"/>
        <v>7.943300000000001E-5</v>
      </c>
      <c r="Q11" s="16">
        <f t="shared" si="0"/>
        <v>7.943300000000001E-5</v>
      </c>
      <c r="R11" s="16">
        <f t="shared" si="0"/>
        <v>7.943300000000001E-5</v>
      </c>
      <c r="S11" s="16">
        <f t="shared" si="0"/>
        <v>7.943300000000001E-5</v>
      </c>
      <c r="T11" s="16">
        <f t="shared" si="0"/>
        <v>7.943300000000001E-5</v>
      </c>
      <c r="U11" s="16">
        <f t="shared" si="0"/>
        <v>7.943300000000001E-5</v>
      </c>
      <c r="V11" s="16">
        <f t="shared" si="0"/>
        <v>7.943300000000001E-5</v>
      </c>
      <c r="W11" s="16">
        <f t="shared" si="0"/>
        <v>7.943300000000001E-5</v>
      </c>
      <c r="X11" s="16">
        <f t="shared" si="0"/>
        <v>7.943300000000001E-5</v>
      </c>
      <c r="Y11" s="16">
        <f t="shared" si="0"/>
        <v>7.943300000000001E-5</v>
      </c>
      <c r="Z11" s="16">
        <f t="shared" si="0"/>
        <v>7.943300000000001E-5</v>
      </c>
    </row>
    <row r="12" spans="1:2195" x14ac:dyDescent="0.25">
      <c r="C12" s="16">
        <f t="shared" si="1"/>
        <v>7.943300000000001E-5</v>
      </c>
      <c r="D12" s="16">
        <f t="shared" si="0"/>
        <v>7.943300000000001E-5</v>
      </c>
      <c r="E12" s="16">
        <f t="shared" si="0"/>
        <v>7.943300000000001E-5</v>
      </c>
      <c r="F12" s="16">
        <f t="shared" si="0"/>
        <v>7.943300000000001E-5</v>
      </c>
      <c r="G12" s="16">
        <f t="shared" si="0"/>
        <v>7.943300000000001E-5</v>
      </c>
      <c r="H12" s="16">
        <f t="shared" si="0"/>
        <v>7.943300000000001E-5</v>
      </c>
      <c r="I12" s="16">
        <f t="shared" si="0"/>
        <v>7.943300000000001E-5</v>
      </c>
      <c r="J12" s="16">
        <f t="shared" si="0"/>
        <v>7.943300000000001E-5</v>
      </c>
      <c r="K12" s="16">
        <f t="shared" si="0"/>
        <v>7.943300000000001E-5</v>
      </c>
      <c r="L12" s="16">
        <f t="shared" si="0"/>
        <v>7.943300000000001E-5</v>
      </c>
      <c r="M12" s="16">
        <f t="shared" si="0"/>
        <v>7.943300000000001E-5</v>
      </c>
      <c r="N12" s="16">
        <f t="shared" si="0"/>
        <v>7.943300000000001E-5</v>
      </c>
      <c r="O12" s="16">
        <f t="shared" si="0"/>
        <v>7.943300000000001E-5</v>
      </c>
      <c r="P12" s="16">
        <f t="shared" si="0"/>
        <v>7.943300000000001E-5</v>
      </c>
      <c r="Q12" s="16">
        <f t="shared" si="0"/>
        <v>7.943300000000001E-5</v>
      </c>
      <c r="R12" s="16">
        <f t="shared" si="0"/>
        <v>7.943300000000001E-5</v>
      </c>
      <c r="S12" s="16">
        <f t="shared" si="0"/>
        <v>7.943300000000001E-5</v>
      </c>
      <c r="T12" s="16">
        <f t="shared" si="0"/>
        <v>7.943300000000001E-5</v>
      </c>
      <c r="U12" s="16">
        <f t="shared" si="0"/>
        <v>7.943300000000001E-5</v>
      </c>
      <c r="V12" s="16">
        <f t="shared" si="0"/>
        <v>7.943300000000001E-5</v>
      </c>
      <c r="W12" s="16">
        <f t="shared" si="0"/>
        <v>7.943300000000001E-5</v>
      </c>
      <c r="X12" s="16">
        <f t="shared" si="0"/>
        <v>7.943300000000001E-5</v>
      </c>
      <c r="Y12" s="16">
        <f t="shared" si="0"/>
        <v>7.943300000000001E-5</v>
      </c>
      <c r="Z12" s="16">
        <f t="shared" si="0"/>
        <v>7.943300000000001E-5</v>
      </c>
    </row>
    <row r="13" spans="1:2195" x14ac:dyDescent="0.25">
      <c r="C13" s="16">
        <f t="shared" si="1"/>
        <v>7.943300000000001E-5</v>
      </c>
      <c r="D13" s="16">
        <f t="shared" si="0"/>
        <v>7.943300000000001E-5</v>
      </c>
      <c r="E13" s="16">
        <f t="shared" si="0"/>
        <v>7.943300000000001E-5</v>
      </c>
      <c r="F13" s="16">
        <f t="shared" si="0"/>
        <v>7.943300000000001E-5</v>
      </c>
      <c r="G13" s="16">
        <f t="shared" si="0"/>
        <v>7.943300000000001E-5</v>
      </c>
      <c r="H13" s="16">
        <f t="shared" si="0"/>
        <v>7.943300000000001E-5</v>
      </c>
      <c r="I13" s="16">
        <f t="shared" si="0"/>
        <v>7.943300000000001E-5</v>
      </c>
      <c r="J13" s="16">
        <f t="shared" si="0"/>
        <v>7.943300000000001E-5</v>
      </c>
      <c r="K13" s="16">
        <f t="shared" si="0"/>
        <v>7.943300000000001E-5</v>
      </c>
      <c r="L13" s="16">
        <f t="shared" si="0"/>
        <v>7.943300000000001E-5</v>
      </c>
      <c r="M13" s="16">
        <f t="shared" si="0"/>
        <v>7.943300000000001E-5</v>
      </c>
      <c r="N13" s="16">
        <f t="shared" si="0"/>
        <v>7.943300000000001E-5</v>
      </c>
      <c r="O13" s="16">
        <f t="shared" si="0"/>
        <v>7.943300000000001E-5</v>
      </c>
      <c r="P13" s="16">
        <f t="shared" si="0"/>
        <v>7.943300000000001E-5</v>
      </c>
      <c r="Q13" s="16">
        <f t="shared" si="0"/>
        <v>7.943300000000001E-5</v>
      </c>
      <c r="R13" s="16">
        <f t="shared" si="0"/>
        <v>7.943300000000001E-5</v>
      </c>
      <c r="S13" s="16">
        <f t="shared" si="0"/>
        <v>7.943300000000001E-5</v>
      </c>
      <c r="T13" s="16">
        <f t="shared" si="0"/>
        <v>7.943300000000001E-5</v>
      </c>
      <c r="U13" s="16">
        <f t="shared" si="0"/>
        <v>7.943300000000001E-5</v>
      </c>
      <c r="V13" s="16">
        <f t="shared" si="0"/>
        <v>7.943300000000001E-5</v>
      </c>
      <c r="W13" s="16">
        <f t="shared" si="0"/>
        <v>7.943300000000001E-5</v>
      </c>
      <c r="X13" s="16">
        <f t="shared" si="0"/>
        <v>7.943300000000001E-5</v>
      </c>
      <c r="Y13" s="16">
        <f t="shared" si="0"/>
        <v>7.943300000000001E-5</v>
      </c>
      <c r="Z13" s="16">
        <f t="shared" si="0"/>
        <v>7.943300000000001E-5</v>
      </c>
    </row>
    <row r="14" spans="1:2195" x14ac:dyDescent="0.25">
      <c r="C14" s="16">
        <f t="shared" si="1"/>
        <v>7.943300000000001E-5</v>
      </c>
      <c r="D14" s="16">
        <f t="shared" si="0"/>
        <v>7.943300000000001E-5</v>
      </c>
      <c r="E14" s="16">
        <f t="shared" si="0"/>
        <v>7.943300000000001E-5</v>
      </c>
      <c r="F14" s="16">
        <f t="shared" si="0"/>
        <v>7.943300000000001E-5</v>
      </c>
      <c r="G14" s="16">
        <f t="shared" si="0"/>
        <v>7.943300000000001E-5</v>
      </c>
      <c r="H14" s="16">
        <f t="shared" si="0"/>
        <v>7.943300000000001E-5</v>
      </c>
      <c r="I14" s="16">
        <f t="shared" si="0"/>
        <v>7.943300000000001E-5</v>
      </c>
      <c r="J14" s="16">
        <f t="shared" si="0"/>
        <v>7.943300000000001E-5</v>
      </c>
      <c r="K14" s="16">
        <f t="shared" si="0"/>
        <v>7.943300000000001E-5</v>
      </c>
      <c r="L14" s="16">
        <f t="shared" si="0"/>
        <v>7.943300000000001E-5</v>
      </c>
      <c r="M14" s="16">
        <f t="shared" si="0"/>
        <v>7.943300000000001E-5</v>
      </c>
      <c r="N14" s="16">
        <f t="shared" si="0"/>
        <v>7.943300000000001E-5</v>
      </c>
      <c r="O14" s="16">
        <f t="shared" si="0"/>
        <v>7.943300000000001E-5</v>
      </c>
      <c r="P14" s="16">
        <f t="shared" si="0"/>
        <v>7.943300000000001E-5</v>
      </c>
      <c r="Q14" s="16">
        <f t="shared" si="0"/>
        <v>7.943300000000001E-5</v>
      </c>
      <c r="R14" s="16">
        <f t="shared" si="0"/>
        <v>7.943300000000001E-5</v>
      </c>
      <c r="S14" s="16">
        <f t="shared" si="0"/>
        <v>7.943300000000001E-5</v>
      </c>
      <c r="T14" s="16">
        <f t="shared" si="0"/>
        <v>7.943300000000001E-5</v>
      </c>
      <c r="U14" s="16">
        <f t="shared" si="0"/>
        <v>7.943300000000001E-5</v>
      </c>
      <c r="V14" s="16">
        <f t="shared" si="0"/>
        <v>7.943300000000001E-5</v>
      </c>
      <c r="W14" s="16">
        <f t="shared" si="0"/>
        <v>7.943300000000001E-5</v>
      </c>
      <c r="X14" s="16">
        <f t="shared" si="0"/>
        <v>7.943300000000001E-5</v>
      </c>
      <c r="Y14" s="16">
        <f t="shared" si="0"/>
        <v>7.943300000000001E-5</v>
      </c>
      <c r="Z14" s="16">
        <f t="shared" si="0"/>
        <v>7.943300000000001E-5</v>
      </c>
    </row>
    <row r="15" spans="1:2195" x14ac:dyDescent="0.25">
      <c r="C15" s="16">
        <f t="shared" si="1"/>
        <v>7.943300000000001E-5</v>
      </c>
      <c r="D15" s="16">
        <f t="shared" si="0"/>
        <v>7.943300000000001E-5</v>
      </c>
      <c r="E15" s="16">
        <f t="shared" si="0"/>
        <v>7.943300000000001E-5</v>
      </c>
      <c r="F15" s="16">
        <f t="shared" si="0"/>
        <v>7.943300000000001E-5</v>
      </c>
      <c r="G15" s="16">
        <f t="shared" si="0"/>
        <v>7.943300000000001E-5</v>
      </c>
      <c r="H15" s="16">
        <f t="shared" si="0"/>
        <v>7.943300000000001E-5</v>
      </c>
      <c r="I15" s="16">
        <f t="shared" si="0"/>
        <v>7.943300000000001E-5</v>
      </c>
      <c r="J15" s="16">
        <f t="shared" si="0"/>
        <v>7.943300000000001E-5</v>
      </c>
      <c r="K15" s="16">
        <f t="shared" si="0"/>
        <v>7.943300000000001E-5</v>
      </c>
      <c r="L15" s="16">
        <f t="shared" si="0"/>
        <v>7.943300000000001E-5</v>
      </c>
      <c r="M15" s="16">
        <f t="shared" si="0"/>
        <v>7.943300000000001E-5</v>
      </c>
      <c r="N15" s="16">
        <f t="shared" si="0"/>
        <v>7.943300000000001E-5</v>
      </c>
      <c r="O15" s="16">
        <f t="shared" si="0"/>
        <v>7.943300000000001E-5</v>
      </c>
      <c r="P15" s="16">
        <f t="shared" si="0"/>
        <v>7.943300000000001E-5</v>
      </c>
      <c r="Q15" s="16">
        <f t="shared" si="0"/>
        <v>7.943300000000001E-5</v>
      </c>
      <c r="R15" s="16">
        <f t="shared" si="0"/>
        <v>7.943300000000001E-5</v>
      </c>
      <c r="S15" s="16">
        <f t="shared" si="0"/>
        <v>7.943300000000001E-5</v>
      </c>
      <c r="T15" s="16">
        <f t="shared" si="0"/>
        <v>7.943300000000001E-5</v>
      </c>
      <c r="U15" s="16">
        <f t="shared" si="0"/>
        <v>7.943300000000001E-5</v>
      </c>
      <c r="V15" s="16">
        <f t="shared" si="0"/>
        <v>7.943300000000001E-5</v>
      </c>
      <c r="W15" s="16">
        <f t="shared" si="0"/>
        <v>7.943300000000001E-5</v>
      </c>
      <c r="X15" s="16">
        <f t="shared" si="0"/>
        <v>7.943300000000001E-5</v>
      </c>
      <c r="Y15" s="16">
        <f t="shared" si="0"/>
        <v>7.943300000000001E-5</v>
      </c>
      <c r="Z15" s="16">
        <f t="shared" si="0"/>
        <v>7.943300000000001E-5</v>
      </c>
    </row>
    <row r="16" spans="1:2195" x14ac:dyDescent="0.25">
      <c r="C16" s="16">
        <f t="shared" si="1"/>
        <v>7.943300000000001E-5</v>
      </c>
      <c r="D16" s="16">
        <f t="shared" si="0"/>
        <v>7.943300000000001E-5</v>
      </c>
      <c r="E16" s="16">
        <f t="shared" si="0"/>
        <v>7.943300000000001E-5</v>
      </c>
      <c r="F16" s="16">
        <f t="shared" ref="F16:U31" si="2">$B$9</f>
        <v>7.943300000000001E-5</v>
      </c>
      <c r="G16" s="16">
        <f t="shared" si="2"/>
        <v>7.943300000000001E-5</v>
      </c>
      <c r="H16" s="16">
        <f t="shared" si="2"/>
        <v>7.943300000000001E-5</v>
      </c>
      <c r="I16" s="16">
        <f t="shared" si="2"/>
        <v>7.943300000000001E-5</v>
      </c>
      <c r="J16" s="16">
        <f t="shared" si="2"/>
        <v>7.943300000000001E-5</v>
      </c>
      <c r="K16" s="16">
        <f t="shared" si="2"/>
        <v>7.943300000000001E-5</v>
      </c>
      <c r="L16" s="16">
        <f t="shared" si="2"/>
        <v>7.943300000000001E-5</v>
      </c>
      <c r="M16" s="16">
        <f t="shared" si="2"/>
        <v>7.943300000000001E-5</v>
      </c>
      <c r="N16" s="16">
        <f t="shared" si="2"/>
        <v>7.943300000000001E-5</v>
      </c>
      <c r="O16" s="16">
        <f t="shared" si="2"/>
        <v>7.943300000000001E-5</v>
      </c>
      <c r="P16" s="16">
        <f t="shared" si="2"/>
        <v>7.943300000000001E-5</v>
      </c>
      <c r="Q16" s="16">
        <f t="shared" si="2"/>
        <v>7.943300000000001E-5</v>
      </c>
      <c r="R16" s="16">
        <f t="shared" si="2"/>
        <v>7.943300000000001E-5</v>
      </c>
      <c r="S16" s="16">
        <f t="shared" si="2"/>
        <v>7.943300000000001E-5</v>
      </c>
      <c r="T16" s="16">
        <f t="shared" si="2"/>
        <v>7.943300000000001E-5</v>
      </c>
      <c r="U16" s="16">
        <f t="shared" si="2"/>
        <v>7.943300000000001E-5</v>
      </c>
      <c r="V16" s="16">
        <f t="shared" ref="V16:Z47" si="3">$B$9</f>
        <v>7.943300000000001E-5</v>
      </c>
      <c r="W16" s="16">
        <f t="shared" si="3"/>
        <v>7.943300000000001E-5</v>
      </c>
      <c r="X16" s="16">
        <f t="shared" si="3"/>
        <v>7.943300000000001E-5</v>
      </c>
      <c r="Y16" s="16">
        <f t="shared" si="3"/>
        <v>7.943300000000001E-5</v>
      </c>
      <c r="Z16" s="16">
        <f t="shared" si="3"/>
        <v>7.943300000000001E-5</v>
      </c>
    </row>
    <row r="17" spans="3:26" x14ac:dyDescent="0.25">
      <c r="C17" s="16">
        <f t="shared" si="1"/>
        <v>7.943300000000001E-5</v>
      </c>
      <c r="D17" s="16">
        <f t="shared" si="1"/>
        <v>7.943300000000001E-5</v>
      </c>
      <c r="E17" s="16">
        <f t="shared" si="1"/>
        <v>7.943300000000001E-5</v>
      </c>
      <c r="F17" s="16">
        <f t="shared" si="1"/>
        <v>7.943300000000001E-5</v>
      </c>
      <c r="G17" s="16">
        <f t="shared" si="1"/>
        <v>7.943300000000001E-5</v>
      </c>
      <c r="H17" s="16">
        <f t="shared" si="1"/>
        <v>7.943300000000001E-5</v>
      </c>
      <c r="I17" s="16">
        <f t="shared" si="1"/>
        <v>7.943300000000001E-5</v>
      </c>
      <c r="J17" s="16">
        <f t="shared" si="1"/>
        <v>7.943300000000001E-5</v>
      </c>
      <c r="K17" s="16">
        <f t="shared" si="1"/>
        <v>7.943300000000001E-5</v>
      </c>
      <c r="L17" s="16">
        <f t="shared" si="1"/>
        <v>7.943300000000001E-5</v>
      </c>
      <c r="M17" s="16">
        <f t="shared" si="1"/>
        <v>7.943300000000001E-5</v>
      </c>
      <c r="N17" s="16">
        <f t="shared" si="1"/>
        <v>7.943300000000001E-5</v>
      </c>
      <c r="O17" s="16">
        <f t="shared" si="1"/>
        <v>7.943300000000001E-5</v>
      </c>
      <c r="P17" s="16">
        <f t="shared" si="1"/>
        <v>7.943300000000001E-5</v>
      </c>
      <c r="Q17" s="16">
        <f t="shared" si="1"/>
        <v>7.943300000000001E-5</v>
      </c>
      <c r="R17" s="16">
        <f t="shared" si="1"/>
        <v>7.943300000000001E-5</v>
      </c>
      <c r="S17" s="16">
        <f t="shared" si="2"/>
        <v>7.943300000000001E-5</v>
      </c>
      <c r="T17" s="16">
        <f t="shared" si="2"/>
        <v>7.943300000000001E-5</v>
      </c>
      <c r="U17" s="16">
        <f t="shared" si="2"/>
        <v>7.943300000000001E-5</v>
      </c>
      <c r="V17" s="16">
        <f t="shared" si="3"/>
        <v>7.943300000000001E-5</v>
      </c>
      <c r="W17" s="16">
        <f t="shared" si="3"/>
        <v>7.943300000000001E-5</v>
      </c>
      <c r="X17" s="16">
        <f t="shared" si="3"/>
        <v>7.943300000000001E-5</v>
      </c>
      <c r="Y17" s="16">
        <f t="shared" si="3"/>
        <v>7.943300000000001E-5</v>
      </c>
      <c r="Z17" s="16">
        <f t="shared" si="3"/>
        <v>7.943300000000001E-5</v>
      </c>
    </row>
    <row r="18" spans="3:26" x14ac:dyDescent="0.25">
      <c r="C18" s="16">
        <f t="shared" si="1"/>
        <v>7.943300000000001E-5</v>
      </c>
      <c r="D18" s="16">
        <f t="shared" si="1"/>
        <v>7.943300000000001E-5</v>
      </c>
      <c r="E18" s="16">
        <f t="shared" si="1"/>
        <v>7.943300000000001E-5</v>
      </c>
      <c r="F18" s="16">
        <f t="shared" si="1"/>
        <v>7.943300000000001E-5</v>
      </c>
      <c r="G18" s="16">
        <f t="shared" si="1"/>
        <v>7.943300000000001E-5</v>
      </c>
      <c r="H18" s="16">
        <f t="shared" si="1"/>
        <v>7.943300000000001E-5</v>
      </c>
      <c r="I18" s="16">
        <f t="shared" si="1"/>
        <v>7.943300000000001E-5</v>
      </c>
      <c r="J18" s="16">
        <f t="shared" si="1"/>
        <v>7.943300000000001E-5</v>
      </c>
      <c r="K18" s="16">
        <f t="shared" si="1"/>
        <v>7.943300000000001E-5</v>
      </c>
      <c r="L18" s="16">
        <f t="shared" si="1"/>
        <v>7.943300000000001E-5</v>
      </c>
      <c r="M18" s="16">
        <f t="shared" si="1"/>
        <v>7.943300000000001E-5</v>
      </c>
      <c r="N18" s="16">
        <f t="shared" si="1"/>
        <v>7.943300000000001E-5</v>
      </c>
      <c r="O18" s="16">
        <f t="shared" si="1"/>
        <v>7.943300000000001E-5</v>
      </c>
      <c r="P18" s="16">
        <f t="shared" si="1"/>
        <v>7.943300000000001E-5</v>
      </c>
      <c r="Q18" s="16">
        <f t="shared" si="1"/>
        <v>7.943300000000001E-5</v>
      </c>
      <c r="R18" s="16">
        <f t="shared" si="1"/>
        <v>7.943300000000001E-5</v>
      </c>
      <c r="S18" s="16">
        <f t="shared" si="2"/>
        <v>7.943300000000001E-5</v>
      </c>
      <c r="T18" s="16">
        <f t="shared" si="2"/>
        <v>7.943300000000001E-5</v>
      </c>
      <c r="U18" s="16">
        <f t="shared" si="2"/>
        <v>7.943300000000001E-5</v>
      </c>
      <c r="V18" s="16">
        <f t="shared" si="3"/>
        <v>7.943300000000001E-5</v>
      </c>
      <c r="W18" s="16">
        <f t="shared" si="3"/>
        <v>7.943300000000001E-5</v>
      </c>
      <c r="X18" s="16">
        <f t="shared" si="3"/>
        <v>7.943300000000001E-5</v>
      </c>
      <c r="Y18" s="16">
        <f t="shared" si="3"/>
        <v>7.943300000000001E-5</v>
      </c>
      <c r="Z18" s="16">
        <f t="shared" si="3"/>
        <v>7.943300000000001E-5</v>
      </c>
    </row>
    <row r="19" spans="3:26" x14ac:dyDescent="0.25">
      <c r="C19" s="16">
        <f t="shared" si="1"/>
        <v>7.943300000000001E-5</v>
      </c>
      <c r="D19" s="16">
        <f t="shared" si="1"/>
        <v>7.943300000000001E-5</v>
      </c>
      <c r="E19" s="16">
        <f t="shared" si="1"/>
        <v>7.943300000000001E-5</v>
      </c>
      <c r="F19" s="16">
        <f t="shared" si="1"/>
        <v>7.943300000000001E-5</v>
      </c>
      <c r="G19" s="16">
        <f t="shared" si="1"/>
        <v>7.943300000000001E-5</v>
      </c>
      <c r="H19" s="16">
        <f t="shared" si="1"/>
        <v>7.943300000000001E-5</v>
      </c>
      <c r="I19" s="16">
        <f t="shared" si="1"/>
        <v>7.943300000000001E-5</v>
      </c>
      <c r="J19" s="16">
        <f t="shared" si="1"/>
        <v>7.943300000000001E-5</v>
      </c>
      <c r="K19" s="16">
        <f t="shared" si="1"/>
        <v>7.943300000000001E-5</v>
      </c>
      <c r="L19" s="16">
        <f t="shared" si="1"/>
        <v>7.943300000000001E-5</v>
      </c>
      <c r="M19" s="16">
        <f t="shared" si="1"/>
        <v>7.943300000000001E-5</v>
      </c>
      <c r="N19" s="16">
        <f t="shared" si="1"/>
        <v>7.943300000000001E-5</v>
      </c>
      <c r="O19" s="16">
        <f t="shared" si="1"/>
        <v>7.943300000000001E-5</v>
      </c>
      <c r="P19" s="16">
        <f t="shared" si="1"/>
        <v>7.943300000000001E-5</v>
      </c>
      <c r="Q19" s="16">
        <f t="shared" si="1"/>
        <v>7.943300000000001E-5</v>
      </c>
      <c r="R19" s="16">
        <f t="shared" si="1"/>
        <v>7.943300000000001E-5</v>
      </c>
      <c r="S19" s="16">
        <f t="shared" si="2"/>
        <v>7.943300000000001E-5</v>
      </c>
      <c r="T19" s="16">
        <f t="shared" si="2"/>
        <v>7.943300000000001E-5</v>
      </c>
      <c r="U19" s="16">
        <f t="shared" si="2"/>
        <v>7.943300000000001E-5</v>
      </c>
      <c r="V19" s="16">
        <f t="shared" si="3"/>
        <v>7.943300000000001E-5</v>
      </c>
      <c r="W19" s="16">
        <f t="shared" si="3"/>
        <v>7.943300000000001E-5</v>
      </c>
      <c r="X19" s="16">
        <f t="shared" si="3"/>
        <v>7.943300000000001E-5</v>
      </c>
      <c r="Y19" s="16">
        <f t="shared" si="3"/>
        <v>7.943300000000001E-5</v>
      </c>
      <c r="Z19" s="16">
        <f t="shared" si="3"/>
        <v>7.943300000000001E-5</v>
      </c>
    </row>
    <row r="20" spans="3:26" x14ac:dyDescent="0.25">
      <c r="C20" s="16">
        <f t="shared" si="1"/>
        <v>7.943300000000001E-5</v>
      </c>
      <c r="D20" s="16">
        <f t="shared" si="1"/>
        <v>7.943300000000001E-5</v>
      </c>
      <c r="E20" s="16">
        <f t="shared" si="1"/>
        <v>7.943300000000001E-5</v>
      </c>
      <c r="F20" s="16">
        <f t="shared" si="1"/>
        <v>7.943300000000001E-5</v>
      </c>
      <c r="G20" s="16">
        <f t="shared" si="1"/>
        <v>7.943300000000001E-5</v>
      </c>
      <c r="H20" s="16">
        <f t="shared" si="1"/>
        <v>7.943300000000001E-5</v>
      </c>
      <c r="I20" s="16">
        <f t="shared" si="1"/>
        <v>7.943300000000001E-5</v>
      </c>
      <c r="J20" s="16">
        <f t="shared" si="1"/>
        <v>7.943300000000001E-5</v>
      </c>
      <c r="K20" s="16">
        <f t="shared" si="1"/>
        <v>7.943300000000001E-5</v>
      </c>
      <c r="L20" s="16">
        <f t="shared" si="1"/>
        <v>7.943300000000001E-5</v>
      </c>
      <c r="M20" s="16">
        <f t="shared" si="1"/>
        <v>7.943300000000001E-5</v>
      </c>
      <c r="N20" s="16">
        <f t="shared" si="1"/>
        <v>7.943300000000001E-5</v>
      </c>
      <c r="O20" s="16">
        <f t="shared" si="1"/>
        <v>7.943300000000001E-5</v>
      </c>
      <c r="P20" s="16">
        <f t="shared" si="1"/>
        <v>7.943300000000001E-5</v>
      </c>
      <c r="Q20" s="16">
        <f t="shared" si="1"/>
        <v>7.943300000000001E-5</v>
      </c>
      <c r="R20" s="16">
        <f t="shared" si="1"/>
        <v>7.943300000000001E-5</v>
      </c>
      <c r="S20" s="16">
        <f t="shared" si="2"/>
        <v>7.943300000000001E-5</v>
      </c>
      <c r="T20" s="16">
        <f t="shared" si="2"/>
        <v>7.943300000000001E-5</v>
      </c>
      <c r="U20" s="16">
        <f t="shared" si="2"/>
        <v>7.943300000000001E-5</v>
      </c>
      <c r="V20" s="16">
        <f t="shared" si="3"/>
        <v>7.943300000000001E-5</v>
      </c>
      <c r="W20" s="16">
        <f t="shared" si="3"/>
        <v>7.943300000000001E-5</v>
      </c>
      <c r="X20" s="16">
        <f t="shared" si="3"/>
        <v>7.943300000000001E-5</v>
      </c>
      <c r="Y20" s="16">
        <f t="shared" si="3"/>
        <v>7.943300000000001E-5</v>
      </c>
      <c r="Z20" s="16">
        <f t="shared" si="3"/>
        <v>7.943300000000001E-5</v>
      </c>
    </row>
    <row r="21" spans="3:26" x14ac:dyDescent="0.25">
      <c r="C21" s="16">
        <f t="shared" si="1"/>
        <v>7.943300000000001E-5</v>
      </c>
      <c r="D21" s="16">
        <f t="shared" si="1"/>
        <v>7.943300000000001E-5</v>
      </c>
      <c r="E21" s="16">
        <f t="shared" si="1"/>
        <v>7.943300000000001E-5</v>
      </c>
      <c r="F21" s="16">
        <f t="shared" si="1"/>
        <v>7.943300000000001E-5</v>
      </c>
      <c r="G21" s="16">
        <f t="shared" si="1"/>
        <v>7.943300000000001E-5</v>
      </c>
      <c r="H21" s="16">
        <f t="shared" si="1"/>
        <v>7.943300000000001E-5</v>
      </c>
      <c r="I21" s="16">
        <f t="shared" si="1"/>
        <v>7.943300000000001E-5</v>
      </c>
      <c r="J21" s="16">
        <f t="shared" si="1"/>
        <v>7.943300000000001E-5</v>
      </c>
      <c r="K21" s="16">
        <f t="shared" si="1"/>
        <v>7.943300000000001E-5</v>
      </c>
      <c r="L21" s="16">
        <f t="shared" si="1"/>
        <v>7.943300000000001E-5</v>
      </c>
      <c r="M21" s="16">
        <f t="shared" si="1"/>
        <v>7.943300000000001E-5</v>
      </c>
      <c r="N21" s="16">
        <f t="shared" si="1"/>
        <v>7.943300000000001E-5</v>
      </c>
      <c r="O21" s="16">
        <f t="shared" si="1"/>
        <v>7.943300000000001E-5</v>
      </c>
      <c r="P21" s="16">
        <f t="shared" si="1"/>
        <v>7.943300000000001E-5</v>
      </c>
      <c r="Q21" s="16">
        <f t="shared" si="1"/>
        <v>7.943300000000001E-5</v>
      </c>
      <c r="R21" s="16">
        <f t="shared" si="1"/>
        <v>7.943300000000001E-5</v>
      </c>
      <c r="S21" s="16">
        <f t="shared" si="2"/>
        <v>7.943300000000001E-5</v>
      </c>
      <c r="T21" s="16">
        <f t="shared" si="2"/>
        <v>7.943300000000001E-5</v>
      </c>
      <c r="U21" s="16">
        <f t="shared" si="2"/>
        <v>7.943300000000001E-5</v>
      </c>
      <c r="V21" s="16">
        <f t="shared" si="3"/>
        <v>7.943300000000001E-5</v>
      </c>
      <c r="W21" s="16">
        <f t="shared" si="3"/>
        <v>7.943300000000001E-5</v>
      </c>
      <c r="X21" s="16">
        <f t="shared" si="3"/>
        <v>7.943300000000001E-5</v>
      </c>
      <c r="Y21" s="16">
        <f t="shared" si="3"/>
        <v>7.943300000000001E-5</v>
      </c>
      <c r="Z21" s="16">
        <f t="shared" si="3"/>
        <v>7.943300000000001E-5</v>
      </c>
    </row>
    <row r="22" spans="3:26" x14ac:dyDescent="0.25">
      <c r="C22" s="16">
        <f t="shared" si="1"/>
        <v>7.943300000000001E-5</v>
      </c>
      <c r="D22" s="16">
        <f t="shared" si="1"/>
        <v>7.943300000000001E-5</v>
      </c>
      <c r="E22" s="16">
        <f t="shared" si="1"/>
        <v>7.943300000000001E-5</v>
      </c>
      <c r="F22" s="16">
        <f t="shared" si="1"/>
        <v>7.943300000000001E-5</v>
      </c>
      <c r="G22" s="16">
        <f t="shared" si="1"/>
        <v>7.943300000000001E-5</v>
      </c>
      <c r="H22" s="16">
        <f t="shared" si="1"/>
        <v>7.943300000000001E-5</v>
      </c>
      <c r="I22" s="16">
        <f t="shared" si="1"/>
        <v>7.943300000000001E-5</v>
      </c>
      <c r="J22" s="16">
        <f t="shared" si="1"/>
        <v>7.943300000000001E-5</v>
      </c>
      <c r="K22" s="16">
        <f t="shared" si="1"/>
        <v>7.943300000000001E-5</v>
      </c>
      <c r="L22" s="16">
        <f t="shared" si="1"/>
        <v>7.943300000000001E-5</v>
      </c>
      <c r="M22" s="16">
        <f t="shared" si="1"/>
        <v>7.943300000000001E-5</v>
      </c>
      <c r="N22" s="16">
        <f t="shared" si="1"/>
        <v>7.943300000000001E-5</v>
      </c>
      <c r="O22" s="16">
        <f t="shared" si="1"/>
        <v>7.943300000000001E-5</v>
      </c>
      <c r="P22" s="16">
        <f t="shared" si="1"/>
        <v>7.943300000000001E-5</v>
      </c>
      <c r="Q22" s="16">
        <f t="shared" si="1"/>
        <v>7.943300000000001E-5</v>
      </c>
      <c r="R22" s="16">
        <f t="shared" si="1"/>
        <v>7.943300000000001E-5</v>
      </c>
      <c r="S22" s="16">
        <f t="shared" si="2"/>
        <v>7.943300000000001E-5</v>
      </c>
      <c r="T22" s="16">
        <f t="shared" si="2"/>
        <v>7.943300000000001E-5</v>
      </c>
      <c r="U22" s="16">
        <f t="shared" si="2"/>
        <v>7.943300000000001E-5</v>
      </c>
      <c r="V22" s="16">
        <f t="shared" si="3"/>
        <v>7.943300000000001E-5</v>
      </c>
      <c r="W22" s="16">
        <f t="shared" si="3"/>
        <v>7.943300000000001E-5</v>
      </c>
      <c r="X22" s="16">
        <f t="shared" si="3"/>
        <v>7.943300000000001E-5</v>
      </c>
      <c r="Y22" s="16">
        <f t="shared" si="3"/>
        <v>7.943300000000001E-5</v>
      </c>
      <c r="Z22" s="16">
        <f t="shared" si="3"/>
        <v>7.943300000000001E-5</v>
      </c>
    </row>
    <row r="23" spans="3:26" x14ac:dyDescent="0.25">
      <c r="C23" s="16">
        <f t="shared" si="1"/>
        <v>7.943300000000001E-5</v>
      </c>
      <c r="D23" s="16">
        <f t="shared" si="1"/>
        <v>7.943300000000001E-5</v>
      </c>
      <c r="E23" s="16">
        <f t="shared" si="1"/>
        <v>7.943300000000001E-5</v>
      </c>
      <c r="F23" s="16">
        <f t="shared" si="1"/>
        <v>7.943300000000001E-5</v>
      </c>
      <c r="G23" s="16">
        <f t="shared" si="1"/>
        <v>7.943300000000001E-5</v>
      </c>
      <c r="H23" s="16">
        <f t="shared" si="1"/>
        <v>7.943300000000001E-5</v>
      </c>
      <c r="I23" s="16">
        <f t="shared" si="1"/>
        <v>7.943300000000001E-5</v>
      </c>
      <c r="J23" s="16">
        <f t="shared" si="1"/>
        <v>7.943300000000001E-5</v>
      </c>
      <c r="K23" s="16">
        <f t="shared" si="1"/>
        <v>7.943300000000001E-5</v>
      </c>
      <c r="L23" s="16">
        <f t="shared" si="1"/>
        <v>7.943300000000001E-5</v>
      </c>
      <c r="M23" s="16">
        <f t="shared" si="1"/>
        <v>7.943300000000001E-5</v>
      </c>
      <c r="N23" s="16">
        <f t="shared" si="1"/>
        <v>7.943300000000001E-5</v>
      </c>
      <c r="O23" s="16">
        <f t="shared" si="1"/>
        <v>7.943300000000001E-5</v>
      </c>
      <c r="P23" s="16">
        <f t="shared" si="1"/>
        <v>7.943300000000001E-5</v>
      </c>
      <c r="Q23" s="16">
        <f t="shared" si="1"/>
        <v>7.943300000000001E-5</v>
      </c>
      <c r="R23" s="16">
        <f t="shared" si="1"/>
        <v>7.943300000000001E-5</v>
      </c>
      <c r="S23" s="16">
        <f t="shared" si="2"/>
        <v>7.943300000000001E-5</v>
      </c>
      <c r="T23" s="16">
        <f t="shared" si="2"/>
        <v>7.943300000000001E-5</v>
      </c>
      <c r="U23" s="16">
        <f t="shared" si="2"/>
        <v>7.943300000000001E-5</v>
      </c>
      <c r="V23" s="16">
        <f t="shared" si="3"/>
        <v>7.943300000000001E-5</v>
      </c>
      <c r="W23" s="16">
        <f t="shared" si="3"/>
        <v>7.943300000000001E-5</v>
      </c>
      <c r="X23" s="16">
        <f t="shared" si="3"/>
        <v>7.943300000000001E-5</v>
      </c>
      <c r="Y23" s="16">
        <f t="shared" si="3"/>
        <v>7.943300000000001E-5</v>
      </c>
      <c r="Z23" s="16">
        <f t="shared" si="3"/>
        <v>7.943300000000001E-5</v>
      </c>
    </row>
    <row r="24" spans="3:26" x14ac:dyDescent="0.25">
      <c r="C24" s="16">
        <f t="shared" si="1"/>
        <v>7.943300000000001E-5</v>
      </c>
      <c r="D24" s="16">
        <f t="shared" si="1"/>
        <v>7.943300000000001E-5</v>
      </c>
      <c r="E24" s="16">
        <f t="shared" si="1"/>
        <v>7.943300000000001E-5</v>
      </c>
      <c r="F24" s="16">
        <f t="shared" si="1"/>
        <v>7.943300000000001E-5</v>
      </c>
      <c r="G24" s="16">
        <f t="shared" si="1"/>
        <v>7.943300000000001E-5</v>
      </c>
      <c r="H24" s="16">
        <f t="shared" si="1"/>
        <v>7.943300000000001E-5</v>
      </c>
      <c r="I24" s="16">
        <f t="shared" si="1"/>
        <v>7.943300000000001E-5</v>
      </c>
      <c r="J24" s="16">
        <f t="shared" si="1"/>
        <v>7.943300000000001E-5</v>
      </c>
      <c r="K24" s="16">
        <f t="shared" si="1"/>
        <v>7.943300000000001E-5</v>
      </c>
      <c r="L24" s="16">
        <f t="shared" si="1"/>
        <v>7.943300000000001E-5</v>
      </c>
      <c r="M24" s="16">
        <f t="shared" si="1"/>
        <v>7.943300000000001E-5</v>
      </c>
      <c r="N24" s="16">
        <f t="shared" si="1"/>
        <v>7.943300000000001E-5</v>
      </c>
      <c r="O24" s="16">
        <f t="shared" si="1"/>
        <v>7.943300000000001E-5</v>
      </c>
      <c r="P24" s="16">
        <f t="shared" si="1"/>
        <v>7.943300000000001E-5</v>
      </c>
      <c r="Q24" s="16">
        <f t="shared" si="1"/>
        <v>7.943300000000001E-5</v>
      </c>
      <c r="R24" s="16">
        <f t="shared" si="1"/>
        <v>7.943300000000001E-5</v>
      </c>
      <c r="S24" s="16">
        <f t="shared" si="2"/>
        <v>7.943300000000001E-5</v>
      </c>
      <c r="T24" s="16">
        <f t="shared" si="2"/>
        <v>7.943300000000001E-5</v>
      </c>
      <c r="U24" s="16">
        <f t="shared" si="2"/>
        <v>7.943300000000001E-5</v>
      </c>
      <c r="V24" s="16">
        <f t="shared" si="3"/>
        <v>7.943300000000001E-5</v>
      </c>
      <c r="W24" s="16">
        <f t="shared" si="3"/>
        <v>7.943300000000001E-5</v>
      </c>
      <c r="X24" s="16">
        <f t="shared" si="3"/>
        <v>7.943300000000001E-5</v>
      </c>
      <c r="Y24" s="16">
        <f t="shared" si="3"/>
        <v>7.943300000000001E-5</v>
      </c>
      <c r="Z24" s="16">
        <f t="shared" si="3"/>
        <v>7.943300000000001E-5</v>
      </c>
    </row>
    <row r="25" spans="3:26" x14ac:dyDescent="0.25">
      <c r="C25" s="16">
        <f t="shared" si="1"/>
        <v>7.943300000000001E-5</v>
      </c>
      <c r="D25" s="16">
        <f t="shared" si="1"/>
        <v>7.943300000000001E-5</v>
      </c>
      <c r="E25" s="16">
        <f t="shared" si="1"/>
        <v>7.943300000000001E-5</v>
      </c>
      <c r="F25" s="16">
        <f t="shared" si="1"/>
        <v>7.943300000000001E-5</v>
      </c>
      <c r="G25" s="16">
        <f t="shared" si="1"/>
        <v>7.943300000000001E-5</v>
      </c>
      <c r="H25" s="16">
        <f t="shared" si="1"/>
        <v>7.943300000000001E-5</v>
      </c>
      <c r="I25" s="16">
        <f t="shared" si="1"/>
        <v>7.943300000000001E-5</v>
      </c>
      <c r="J25" s="16">
        <f t="shared" si="1"/>
        <v>7.943300000000001E-5</v>
      </c>
      <c r="K25" s="16">
        <f t="shared" si="1"/>
        <v>7.943300000000001E-5</v>
      </c>
      <c r="L25" s="16">
        <f t="shared" si="1"/>
        <v>7.943300000000001E-5</v>
      </c>
      <c r="M25" s="16">
        <f t="shared" si="1"/>
        <v>7.943300000000001E-5</v>
      </c>
      <c r="N25" s="16">
        <f t="shared" si="1"/>
        <v>7.943300000000001E-5</v>
      </c>
      <c r="O25" s="16">
        <f t="shared" si="1"/>
        <v>7.943300000000001E-5</v>
      </c>
      <c r="P25" s="16">
        <f t="shared" si="1"/>
        <v>7.943300000000001E-5</v>
      </c>
      <c r="Q25" s="16">
        <f t="shared" si="1"/>
        <v>7.943300000000001E-5</v>
      </c>
      <c r="R25" s="16">
        <f t="shared" si="1"/>
        <v>7.943300000000001E-5</v>
      </c>
      <c r="S25" s="16">
        <f t="shared" si="2"/>
        <v>7.943300000000001E-5</v>
      </c>
      <c r="T25" s="16">
        <f t="shared" si="2"/>
        <v>7.943300000000001E-5</v>
      </c>
      <c r="U25" s="16">
        <f t="shared" si="2"/>
        <v>7.943300000000001E-5</v>
      </c>
      <c r="V25" s="16">
        <f t="shared" si="3"/>
        <v>7.943300000000001E-5</v>
      </c>
      <c r="W25" s="16">
        <f t="shared" si="3"/>
        <v>7.943300000000001E-5</v>
      </c>
      <c r="X25" s="16">
        <f t="shared" si="3"/>
        <v>7.943300000000001E-5</v>
      </c>
      <c r="Y25" s="16">
        <f t="shared" si="3"/>
        <v>7.943300000000001E-5</v>
      </c>
      <c r="Z25" s="16">
        <f t="shared" si="3"/>
        <v>7.943300000000001E-5</v>
      </c>
    </row>
    <row r="26" spans="3:26" x14ac:dyDescent="0.25">
      <c r="C26" s="16">
        <f t="shared" si="1"/>
        <v>7.943300000000001E-5</v>
      </c>
      <c r="D26" s="16">
        <f t="shared" si="1"/>
        <v>7.943300000000001E-5</v>
      </c>
      <c r="E26" s="16">
        <f t="shared" si="1"/>
        <v>7.943300000000001E-5</v>
      </c>
      <c r="F26" s="16">
        <f t="shared" si="1"/>
        <v>7.943300000000001E-5</v>
      </c>
      <c r="G26" s="16">
        <f t="shared" si="1"/>
        <v>7.943300000000001E-5</v>
      </c>
      <c r="H26" s="16">
        <f t="shared" si="1"/>
        <v>7.943300000000001E-5</v>
      </c>
      <c r="I26" s="16">
        <f t="shared" si="1"/>
        <v>7.943300000000001E-5</v>
      </c>
      <c r="J26" s="16">
        <f t="shared" si="1"/>
        <v>7.943300000000001E-5</v>
      </c>
      <c r="K26" s="16">
        <f t="shared" si="1"/>
        <v>7.943300000000001E-5</v>
      </c>
      <c r="L26" s="16">
        <f t="shared" si="1"/>
        <v>7.943300000000001E-5</v>
      </c>
      <c r="M26" s="16">
        <f t="shared" si="1"/>
        <v>7.943300000000001E-5</v>
      </c>
      <c r="N26" s="16">
        <f t="shared" si="1"/>
        <v>7.943300000000001E-5</v>
      </c>
      <c r="O26" s="16">
        <f t="shared" si="1"/>
        <v>7.943300000000001E-5</v>
      </c>
      <c r="P26" s="16">
        <f t="shared" si="1"/>
        <v>7.943300000000001E-5</v>
      </c>
      <c r="Q26" s="16">
        <f t="shared" si="1"/>
        <v>7.943300000000001E-5</v>
      </c>
      <c r="R26" s="16">
        <f t="shared" si="1"/>
        <v>7.943300000000001E-5</v>
      </c>
      <c r="S26" s="16">
        <f t="shared" si="2"/>
        <v>7.943300000000001E-5</v>
      </c>
      <c r="T26" s="16">
        <f t="shared" si="2"/>
        <v>7.943300000000001E-5</v>
      </c>
      <c r="U26" s="16">
        <f t="shared" si="2"/>
        <v>7.943300000000001E-5</v>
      </c>
      <c r="V26" s="16">
        <f t="shared" si="3"/>
        <v>7.943300000000001E-5</v>
      </c>
      <c r="W26" s="16">
        <f t="shared" si="3"/>
        <v>7.943300000000001E-5</v>
      </c>
      <c r="X26" s="16">
        <f t="shared" si="3"/>
        <v>7.943300000000001E-5</v>
      </c>
      <c r="Y26" s="16">
        <f t="shared" si="3"/>
        <v>7.943300000000001E-5</v>
      </c>
      <c r="Z26" s="16">
        <f t="shared" si="3"/>
        <v>7.943300000000001E-5</v>
      </c>
    </row>
    <row r="27" spans="3:26" x14ac:dyDescent="0.25">
      <c r="C27" s="16">
        <f t="shared" si="1"/>
        <v>7.943300000000001E-5</v>
      </c>
      <c r="D27" s="16">
        <f t="shared" si="1"/>
        <v>7.943300000000001E-5</v>
      </c>
      <c r="E27" s="16">
        <f t="shared" si="1"/>
        <v>7.943300000000001E-5</v>
      </c>
      <c r="F27" s="16">
        <f t="shared" si="1"/>
        <v>7.943300000000001E-5</v>
      </c>
      <c r="G27" s="16">
        <f t="shared" si="1"/>
        <v>7.943300000000001E-5</v>
      </c>
      <c r="H27" s="16">
        <f t="shared" si="1"/>
        <v>7.943300000000001E-5</v>
      </c>
      <c r="I27" s="16">
        <f t="shared" si="1"/>
        <v>7.943300000000001E-5</v>
      </c>
      <c r="J27" s="16">
        <f t="shared" si="1"/>
        <v>7.943300000000001E-5</v>
      </c>
      <c r="K27" s="16">
        <f t="shared" si="1"/>
        <v>7.943300000000001E-5</v>
      </c>
      <c r="L27" s="16">
        <f t="shared" si="1"/>
        <v>7.943300000000001E-5</v>
      </c>
      <c r="M27" s="16">
        <f t="shared" si="1"/>
        <v>7.943300000000001E-5</v>
      </c>
      <c r="N27" s="16">
        <f t="shared" si="1"/>
        <v>7.943300000000001E-5</v>
      </c>
      <c r="O27" s="16">
        <f t="shared" si="1"/>
        <v>7.943300000000001E-5</v>
      </c>
      <c r="P27" s="16">
        <f t="shared" si="1"/>
        <v>7.943300000000001E-5</v>
      </c>
      <c r="Q27" s="16">
        <f t="shared" si="1"/>
        <v>7.943300000000001E-5</v>
      </c>
      <c r="R27" s="16">
        <f t="shared" si="1"/>
        <v>7.943300000000001E-5</v>
      </c>
      <c r="S27" s="16">
        <f t="shared" si="2"/>
        <v>7.943300000000001E-5</v>
      </c>
      <c r="T27" s="16">
        <f t="shared" si="2"/>
        <v>7.943300000000001E-5</v>
      </c>
      <c r="U27" s="16">
        <f t="shared" si="2"/>
        <v>7.943300000000001E-5</v>
      </c>
      <c r="V27" s="16">
        <f t="shared" si="3"/>
        <v>7.943300000000001E-5</v>
      </c>
      <c r="W27" s="16">
        <f t="shared" si="3"/>
        <v>7.943300000000001E-5</v>
      </c>
      <c r="X27" s="16">
        <f t="shared" si="3"/>
        <v>7.943300000000001E-5</v>
      </c>
      <c r="Y27" s="16">
        <f t="shared" si="3"/>
        <v>7.943300000000001E-5</v>
      </c>
      <c r="Z27" s="16">
        <f t="shared" si="3"/>
        <v>7.943300000000001E-5</v>
      </c>
    </row>
    <row r="28" spans="3:26" x14ac:dyDescent="0.25">
      <c r="C28" s="16">
        <f t="shared" si="1"/>
        <v>7.943300000000001E-5</v>
      </c>
      <c r="D28" s="16">
        <f t="shared" si="1"/>
        <v>7.943300000000001E-5</v>
      </c>
      <c r="E28" s="16">
        <f t="shared" si="1"/>
        <v>7.943300000000001E-5</v>
      </c>
      <c r="F28" s="16">
        <f t="shared" si="1"/>
        <v>7.943300000000001E-5</v>
      </c>
      <c r="G28" s="16">
        <f t="shared" si="1"/>
        <v>7.943300000000001E-5</v>
      </c>
      <c r="H28" s="16">
        <f t="shared" si="1"/>
        <v>7.943300000000001E-5</v>
      </c>
      <c r="I28" s="16">
        <f t="shared" si="1"/>
        <v>7.943300000000001E-5</v>
      </c>
      <c r="J28" s="16">
        <f t="shared" si="1"/>
        <v>7.943300000000001E-5</v>
      </c>
      <c r="K28" s="16">
        <f t="shared" si="1"/>
        <v>7.943300000000001E-5</v>
      </c>
      <c r="L28" s="16">
        <f t="shared" si="1"/>
        <v>7.943300000000001E-5</v>
      </c>
      <c r="M28" s="16">
        <f t="shared" si="1"/>
        <v>7.943300000000001E-5</v>
      </c>
      <c r="N28" s="16">
        <f t="shared" si="1"/>
        <v>7.943300000000001E-5</v>
      </c>
      <c r="O28" s="16">
        <f t="shared" si="1"/>
        <v>7.943300000000001E-5</v>
      </c>
      <c r="P28" s="16">
        <f t="shared" si="1"/>
        <v>7.943300000000001E-5</v>
      </c>
      <c r="Q28" s="16">
        <f t="shared" si="1"/>
        <v>7.943300000000001E-5</v>
      </c>
      <c r="R28" s="16">
        <f t="shared" si="1"/>
        <v>7.943300000000001E-5</v>
      </c>
      <c r="S28" s="16">
        <f t="shared" si="2"/>
        <v>7.943300000000001E-5</v>
      </c>
      <c r="T28" s="16">
        <f t="shared" si="2"/>
        <v>7.943300000000001E-5</v>
      </c>
      <c r="U28" s="16">
        <f t="shared" si="2"/>
        <v>7.943300000000001E-5</v>
      </c>
      <c r="V28" s="16">
        <f t="shared" si="3"/>
        <v>7.943300000000001E-5</v>
      </c>
      <c r="W28" s="16">
        <f t="shared" si="3"/>
        <v>7.943300000000001E-5</v>
      </c>
      <c r="X28" s="16">
        <f t="shared" si="3"/>
        <v>7.943300000000001E-5</v>
      </c>
      <c r="Y28" s="16">
        <f t="shared" si="3"/>
        <v>7.943300000000001E-5</v>
      </c>
      <c r="Z28" s="16">
        <f t="shared" si="3"/>
        <v>7.943300000000001E-5</v>
      </c>
    </row>
    <row r="29" spans="3:26" x14ac:dyDescent="0.25">
      <c r="C29" s="16">
        <f t="shared" si="1"/>
        <v>7.943300000000001E-5</v>
      </c>
      <c r="D29" s="16">
        <f t="shared" si="1"/>
        <v>7.943300000000001E-5</v>
      </c>
      <c r="E29" s="16">
        <f t="shared" si="1"/>
        <v>7.943300000000001E-5</v>
      </c>
      <c r="F29" s="16">
        <f t="shared" si="1"/>
        <v>7.943300000000001E-5</v>
      </c>
      <c r="G29" s="16">
        <f t="shared" si="1"/>
        <v>7.943300000000001E-5</v>
      </c>
      <c r="H29" s="16">
        <f t="shared" si="1"/>
        <v>7.943300000000001E-5</v>
      </c>
      <c r="I29" s="16">
        <f t="shared" si="1"/>
        <v>7.943300000000001E-5</v>
      </c>
      <c r="J29" s="16">
        <f t="shared" si="1"/>
        <v>7.943300000000001E-5</v>
      </c>
      <c r="K29" s="16">
        <f t="shared" si="1"/>
        <v>7.943300000000001E-5</v>
      </c>
      <c r="L29" s="16">
        <f t="shared" si="1"/>
        <v>7.943300000000001E-5</v>
      </c>
      <c r="M29" s="16">
        <f t="shared" si="1"/>
        <v>7.943300000000001E-5</v>
      </c>
      <c r="N29" s="16">
        <f t="shared" si="1"/>
        <v>7.943300000000001E-5</v>
      </c>
      <c r="O29" s="16">
        <f t="shared" si="1"/>
        <v>7.943300000000001E-5</v>
      </c>
      <c r="P29" s="16">
        <f t="shared" si="1"/>
        <v>7.943300000000001E-5</v>
      </c>
      <c r="Q29" s="16">
        <f t="shared" si="1"/>
        <v>7.943300000000001E-5</v>
      </c>
      <c r="R29" s="16">
        <f t="shared" si="1"/>
        <v>7.943300000000001E-5</v>
      </c>
      <c r="S29" s="16">
        <f t="shared" si="2"/>
        <v>7.943300000000001E-5</v>
      </c>
      <c r="T29" s="16">
        <f t="shared" si="2"/>
        <v>7.943300000000001E-5</v>
      </c>
      <c r="U29" s="16">
        <f t="shared" si="2"/>
        <v>7.943300000000001E-5</v>
      </c>
      <c r="V29" s="16">
        <f t="shared" si="3"/>
        <v>7.943300000000001E-5</v>
      </c>
      <c r="W29" s="16">
        <f t="shared" si="3"/>
        <v>7.943300000000001E-5</v>
      </c>
      <c r="X29" s="16">
        <f t="shared" si="3"/>
        <v>7.943300000000001E-5</v>
      </c>
      <c r="Y29" s="16">
        <f t="shared" si="3"/>
        <v>7.943300000000001E-5</v>
      </c>
      <c r="Z29" s="16">
        <f t="shared" si="3"/>
        <v>7.943300000000001E-5</v>
      </c>
    </row>
    <row r="30" spans="3:26" x14ac:dyDescent="0.25">
      <c r="C30" s="16">
        <f t="shared" si="1"/>
        <v>7.943300000000001E-5</v>
      </c>
      <c r="D30" s="16">
        <f t="shared" si="1"/>
        <v>7.943300000000001E-5</v>
      </c>
      <c r="E30" s="16">
        <f t="shared" si="1"/>
        <v>7.943300000000001E-5</v>
      </c>
      <c r="F30" s="16">
        <f t="shared" si="1"/>
        <v>7.943300000000001E-5</v>
      </c>
      <c r="G30" s="16">
        <f t="shared" si="1"/>
        <v>7.943300000000001E-5</v>
      </c>
      <c r="H30" s="16">
        <f t="shared" si="1"/>
        <v>7.943300000000001E-5</v>
      </c>
      <c r="I30" s="16">
        <f t="shared" si="1"/>
        <v>7.943300000000001E-5</v>
      </c>
      <c r="J30" s="16">
        <f t="shared" si="1"/>
        <v>7.943300000000001E-5</v>
      </c>
      <c r="K30" s="16">
        <f t="shared" si="1"/>
        <v>7.943300000000001E-5</v>
      </c>
      <c r="L30" s="16">
        <f t="shared" si="1"/>
        <v>7.943300000000001E-5</v>
      </c>
      <c r="M30" s="16">
        <f t="shared" si="1"/>
        <v>7.943300000000001E-5</v>
      </c>
      <c r="N30" s="16">
        <f t="shared" si="1"/>
        <v>7.943300000000001E-5</v>
      </c>
      <c r="O30" s="16">
        <f t="shared" si="1"/>
        <v>7.943300000000001E-5</v>
      </c>
      <c r="P30" s="16">
        <f t="shared" si="1"/>
        <v>7.943300000000001E-5</v>
      </c>
      <c r="Q30" s="16">
        <f t="shared" si="1"/>
        <v>7.943300000000001E-5</v>
      </c>
      <c r="R30" s="16">
        <f t="shared" si="1"/>
        <v>7.943300000000001E-5</v>
      </c>
      <c r="S30" s="16">
        <f t="shared" si="2"/>
        <v>7.943300000000001E-5</v>
      </c>
      <c r="T30" s="16">
        <f t="shared" si="2"/>
        <v>7.943300000000001E-5</v>
      </c>
      <c r="U30" s="16">
        <f t="shared" si="2"/>
        <v>7.943300000000001E-5</v>
      </c>
      <c r="V30" s="16">
        <f t="shared" si="3"/>
        <v>7.943300000000001E-5</v>
      </c>
      <c r="W30" s="16">
        <f t="shared" si="3"/>
        <v>7.943300000000001E-5</v>
      </c>
      <c r="X30" s="16">
        <f t="shared" si="3"/>
        <v>7.943300000000001E-5</v>
      </c>
      <c r="Y30" s="16">
        <f t="shared" si="3"/>
        <v>7.943300000000001E-5</v>
      </c>
      <c r="Z30" s="16">
        <f t="shared" si="3"/>
        <v>7.943300000000001E-5</v>
      </c>
    </row>
    <row r="31" spans="3:26" x14ac:dyDescent="0.25">
      <c r="C31" s="16">
        <f t="shared" si="1"/>
        <v>7.943300000000001E-5</v>
      </c>
      <c r="D31" s="16">
        <f t="shared" si="1"/>
        <v>7.943300000000001E-5</v>
      </c>
      <c r="E31" s="16">
        <f t="shared" si="1"/>
        <v>7.943300000000001E-5</v>
      </c>
      <c r="F31" s="16">
        <f t="shared" si="1"/>
        <v>7.943300000000001E-5</v>
      </c>
      <c r="G31" s="16">
        <f t="shared" si="1"/>
        <v>7.943300000000001E-5</v>
      </c>
      <c r="H31" s="16">
        <f t="shared" si="1"/>
        <v>7.943300000000001E-5</v>
      </c>
      <c r="I31" s="16">
        <f t="shared" si="1"/>
        <v>7.943300000000001E-5</v>
      </c>
      <c r="J31" s="16">
        <f t="shared" si="1"/>
        <v>7.943300000000001E-5</v>
      </c>
      <c r="K31" s="16">
        <f t="shared" si="1"/>
        <v>7.943300000000001E-5</v>
      </c>
      <c r="L31" s="16">
        <f t="shared" si="1"/>
        <v>7.943300000000001E-5</v>
      </c>
      <c r="M31" s="16">
        <f t="shared" si="1"/>
        <v>7.943300000000001E-5</v>
      </c>
      <c r="N31" s="16">
        <f t="shared" si="1"/>
        <v>7.943300000000001E-5</v>
      </c>
      <c r="O31" s="16">
        <f t="shared" si="1"/>
        <v>7.943300000000001E-5</v>
      </c>
      <c r="P31" s="16">
        <f t="shared" si="1"/>
        <v>7.943300000000001E-5</v>
      </c>
      <c r="Q31" s="16">
        <f t="shared" si="1"/>
        <v>7.943300000000001E-5</v>
      </c>
      <c r="R31" s="16">
        <f t="shared" si="1"/>
        <v>7.943300000000001E-5</v>
      </c>
      <c r="S31" s="16">
        <f t="shared" si="2"/>
        <v>7.943300000000001E-5</v>
      </c>
      <c r="T31" s="16">
        <f t="shared" si="2"/>
        <v>7.943300000000001E-5</v>
      </c>
      <c r="U31" s="16">
        <f t="shared" si="2"/>
        <v>7.943300000000001E-5</v>
      </c>
      <c r="V31" s="16">
        <f t="shared" si="3"/>
        <v>7.943300000000001E-5</v>
      </c>
      <c r="W31" s="16">
        <f t="shared" si="3"/>
        <v>7.943300000000001E-5</v>
      </c>
      <c r="X31" s="16">
        <f t="shared" si="3"/>
        <v>7.943300000000001E-5</v>
      </c>
      <c r="Y31" s="16">
        <f t="shared" si="3"/>
        <v>7.943300000000001E-5</v>
      </c>
      <c r="Z31" s="16">
        <f t="shared" si="3"/>
        <v>7.943300000000001E-5</v>
      </c>
    </row>
    <row r="32" spans="3:26" x14ac:dyDescent="0.25">
      <c r="C32" s="16">
        <f t="shared" si="1"/>
        <v>7.943300000000001E-5</v>
      </c>
      <c r="D32" s="16">
        <f t="shared" si="1"/>
        <v>7.943300000000001E-5</v>
      </c>
      <c r="E32" s="16">
        <f t="shared" si="1"/>
        <v>7.943300000000001E-5</v>
      </c>
      <c r="F32" s="16">
        <f t="shared" si="1"/>
        <v>7.943300000000001E-5</v>
      </c>
      <c r="G32" s="16">
        <f t="shared" ref="G32:V47" si="4">$B$9</f>
        <v>7.943300000000001E-5</v>
      </c>
      <c r="H32" s="16">
        <f t="shared" si="4"/>
        <v>7.943300000000001E-5</v>
      </c>
      <c r="I32" s="16">
        <f t="shared" si="4"/>
        <v>7.943300000000001E-5</v>
      </c>
      <c r="J32" s="16">
        <f t="shared" si="4"/>
        <v>7.943300000000001E-5</v>
      </c>
      <c r="K32" s="16">
        <f t="shared" si="4"/>
        <v>7.943300000000001E-5</v>
      </c>
      <c r="L32" s="16">
        <f t="shared" si="4"/>
        <v>7.943300000000001E-5</v>
      </c>
      <c r="M32" s="16">
        <f t="shared" si="4"/>
        <v>7.943300000000001E-5</v>
      </c>
      <c r="N32" s="16">
        <f t="shared" si="4"/>
        <v>7.943300000000001E-5</v>
      </c>
      <c r="O32" s="16">
        <f t="shared" si="4"/>
        <v>7.943300000000001E-5</v>
      </c>
      <c r="P32" s="16">
        <f t="shared" si="4"/>
        <v>7.943300000000001E-5</v>
      </c>
      <c r="Q32" s="16">
        <f t="shared" si="4"/>
        <v>7.943300000000001E-5</v>
      </c>
      <c r="R32" s="16">
        <f t="shared" si="4"/>
        <v>7.943300000000001E-5</v>
      </c>
      <c r="S32" s="16">
        <f t="shared" si="4"/>
        <v>7.943300000000001E-5</v>
      </c>
      <c r="T32" s="16">
        <f t="shared" si="4"/>
        <v>7.943300000000001E-5</v>
      </c>
      <c r="U32" s="16">
        <f t="shared" si="4"/>
        <v>7.943300000000001E-5</v>
      </c>
      <c r="V32" s="16">
        <f t="shared" si="4"/>
        <v>7.943300000000001E-5</v>
      </c>
      <c r="W32" s="16">
        <f t="shared" si="3"/>
        <v>7.943300000000001E-5</v>
      </c>
      <c r="X32" s="16">
        <f t="shared" si="3"/>
        <v>7.943300000000001E-5</v>
      </c>
      <c r="Y32" s="16">
        <f t="shared" si="3"/>
        <v>7.943300000000001E-5</v>
      </c>
      <c r="Z32" s="16">
        <f t="shared" si="3"/>
        <v>7.943300000000001E-5</v>
      </c>
    </row>
    <row r="33" spans="3:26" x14ac:dyDescent="0.25">
      <c r="C33" s="16">
        <f t="shared" ref="C33:R48" si="5">$B$9</f>
        <v>7.943300000000001E-5</v>
      </c>
      <c r="D33" s="16">
        <f t="shared" si="5"/>
        <v>7.943300000000001E-5</v>
      </c>
      <c r="E33" s="16">
        <f t="shared" si="5"/>
        <v>7.943300000000001E-5</v>
      </c>
      <c r="F33" s="16">
        <f t="shared" si="5"/>
        <v>7.943300000000001E-5</v>
      </c>
      <c r="G33" s="16">
        <f t="shared" si="5"/>
        <v>7.943300000000001E-5</v>
      </c>
      <c r="H33" s="16">
        <f t="shared" si="5"/>
        <v>7.943300000000001E-5</v>
      </c>
      <c r="I33" s="16">
        <f t="shared" si="5"/>
        <v>7.943300000000001E-5</v>
      </c>
      <c r="J33" s="16">
        <f t="shared" si="5"/>
        <v>7.943300000000001E-5</v>
      </c>
      <c r="K33" s="16">
        <f t="shared" si="5"/>
        <v>7.943300000000001E-5</v>
      </c>
      <c r="L33" s="16">
        <f t="shared" si="5"/>
        <v>7.943300000000001E-5</v>
      </c>
      <c r="M33" s="16">
        <f t="shared" si="5"/>
        <v>7.943300000000001E-5</v>
      </c>
      <c r="N33" s="16">
        <f t="shared" si="5"/>
        <v>7.943300000000001E-5</v>
      </c>
      <c r="O33" s="16">
        <f t="shared" si="5"/>
        <v>7.943300000000001E-5</v>
      </c>
      <c r="P33" s="16">
        <f t="shared" si="5"/>
        <v>7.943300000000001E-5</v>
      </c>
      <c r="Q33" s="16">
        <f t="shared" si="5"/>
        <v>7.943300000000001E-5</v>
      </c>
      <c r="R33" s="16">
        <f t="shared" si="5"/>
        <v>7.943300000000001E-5</v>
      </c>
      <c r="S33" s="16">
        <f t="shared" si="4"/>
        <v>7.943300000000001E-5</v>
      </c>
      <c r="T33" s="16">
        <f t="shared" si="4"/>
        <v>7.943300000000001E-5</v>
      </c>
      <c r="U33" s="16">
        <f t="shared" si="4"/>
        <v>7.943300000000001E-5</v>
      </c>
      <c r="V33" s="16">
        <f t="shared" si="4"/>
        <v>7.943300000000001E-5</v>
      </c>
      <c r="W33" s="16">
        <f t="shared" si="3"/>
        <v>7.943300000000001E-5</v>
      </c>
      <c r="X33" s="16">
        <f t="shared" si="3"/>
        <v>7.943300000000001E-5</v>
      </c>
      <c r="Y33" s="16">
        <f t="shared" si="3"/>
        <v>7.943300000000001E-5</v>
      </c>
      <c r="Z33" s="16">
        <f t="shared" si="3"/>
        <v>7.943300000000001E-5</v>
      </c>
    </row>
    <row r="34" spans="3:26" x14ac:dyDescent="0.25">
      <c r="C34" s="16">
        <f t="shared" si="5"/>
        <v>7.943300000000001E-5</v>
      </c>
      <c r="D34" s="16">
        <f t="shared" si="5"/>
        <v>7.943300000000001E-5</v>
      </c>
      <c r="E34" s="16">
        <f t="shared" si="5"/>
        <v>7.943300000000001E-5</v>
      </c>
      <c r="F34" s="16">
        <f t="shared" si="5"/>
        <v>7.943300000000001E-5</v>
      </c>
      <c r="G34" s="16">
        <f t="shared" si="5"/>
        <v>7.943300000000001E-5</v>
      </c>
      <c r="H34" s="16">
        <f t="shared" si="5"/>
        <v>7.943300000000001E-5</v>
      </c>
      <c r="I34" s="16">
        <f t="shared" si="5"/>
        <v>7.943300000000001E-5</v>
      </c>
      <c r="J34" s="16">
        <f t="shared" si="5"/>
        <v>7.943300000000001E-5</v>
      </c>
      <c r="K34" s="16">
        <f t="shared" si="5"/>
        <v>7.943300000000001E-5</v>
      </c>
      <c r="L34" s="16">
        <f t="shared" si="5"/>
        <v>7.943300000000001E-5</v>
      </c>
      <c r="M34" s="16">
        <f t="shared" si="5"/>
        <v>7.943300000000001E-5</v>
      </c>
      <c r="N34" s="16">
        <f t="shared" si="5"/>
        <v>7.943300000000001E-5</v>
      </c>
      <c r="O34" s="16">
        <f t="shared" si="5"/>
        <v>7.943300000000001E-5</v>
      </c>
      <c r="P34" s="16">
        <f t="shared" si="5"/>
        <v>7.943300000000001E-5</v>
      </c>
      <c r="Q34" s="16">
        <f t="shared" si="5"/>
        <v>7.943300000000001E-5</v>
      </c>
      <c r="R34" s="16">
        <f t="shared" si="5"/>
        <v>7.943300000000001E-5</v>
      </c>
      <c r="S34" s="16">
        <f t="shared" si="4"/>
        <v>7.943300000000001E-5</v>
      </c>
      <c r="T34" s="16">
        <f t="shared" si="4"/>
        <v>7.943300000000001E-5</v>
      </c>
      <c r="U34" s="16">
        <f t="shared" si="4"/>
        <v>7.943300000000001E-5</v>
      </c>
      <c r="V34" s="16">
        <f t="shared" si="4"/>
        <v>7.943300000000001E-5</v>
      </c>
      <c r="W34" s="16">
        <f t="shared" si="3"/>
        <v>7.943300000000001E-5</v>
      </c>
      <c r="X34" s="16">
        <f t="shared" si="3"/>
        <v>7.943300000000001E-5</v>
      </c>
      <c r="Y34" s="16">
        <f t="shared" si="3"/>
        <v>7.943300000000001E-5</v>
      </c>
      <c r="Z34" s="16">
        <f t="shared" si="3"/>
        <v>7.943300000000001E-5</v>
      </c>
    </row>
    <row r="35" spans="3:26" x14ac:dyDescent="0.25">
      <c r="C35" s="16">
        <f t="shared" si="5"/>
        <v>7.943300000000001E-5</v>
      </c>
      <c r="D35" s="16">
        <f t="shared" si="5"/>
        <v>7.943300000000001E-5</v>
      </c>
      <c r="E35" s="16">
        <f t="shared" si="5"/>
        <v>7.943300000000001E-5</v>
      </c>
      <c r="F35" s="16">
        <f t="shared" si="5"/>
        <v>7.943300000000001E-5</v>
      </c>
      <c r="G35" s="16">
        <f t="shared" si="5"/>
        <v>7.943300000000001E-5</v>
      </c>
      <c r="H35" s="16">
        <f t="shared" si="5"/>
        <v>7.943300000000001E-5</v>
      </c>
      <c r="I35" s="16">
        <f t="shared" si="5"/>
        <v>7.943300000000001E-5</v>
      </c>
      <c r="J35" s="16">
        <f t="shared" si="5"/>
        <v>7.943300000000001E-5</v>
      </c>
      <c r="K35" s="16">
        <f t="shared" si="5"/>
        <v>7.943300000000001E-5</v>
      </c>
      <c r="L35" s="16">
        <f t="shared" si="5"/>
        <v>7.943300000000001E-5</v>
      </c>
      <c r="M35" s="16">
        <f t="shared" si="5"/>
        <v>7.943300000000001E-5</v>
      </c>
      <c r="N35" s="16">
        <f t="shared" si="5"/>
        <v>7.943300000000001E-5</v>
      </c>
      <c r="O35" s="16">
        <f t="shared" si="5"/>
        <v>7.943300000000001E-5</v>
      </c>
      <c r="P35" s="16">
        <f t="shared" si="5"/>
        <v>7.943300000000001E-5</v>
      </c>
      <c r="Q35" s="16">
        <f t="shared" si="5"/>
        <v>7.943300000000001E-5</v>
      </c>
      <c r="R35" s="16">
        <f t="shared" si="5"/>
        <v>7.943300000000001E-5</v>
      </c>
      <c r="S35" s="16">
        <f t="shared" si="4"/>
        <v>7.943300000000001E-5</v>
      </c>
      <c r="T35" s="16">
        <f t="shared" si="4"/>
        <v>7.943300000000001E-5</v>
      </c>
      <c r="U35" s="16">
        <f t="shared" si="4"/>
        <v>7.943300000000001E-5</v>
      </c>
      <c r="V35" s="16">
        <f t="shared" si="4"/>
        <v>7.943300000000001E-5</v>
      </c>
      <c r="W35" s="16">
        <f t="shared" si="3"/>
        <v>7.943300000000001E-5</v>
      </c>
      <c r="X35" s="16">
        <f t="shared" si="3"/>
        <v>7.943300000000001E-5</v>
      </c>
      <c r="Y35" s="16">
        <f t="shared" si="3"/>
        <v>7.943300000000001E-5</v>
      </c>
      <c r="Z35" s="16">
        <f t="shared" si="3"/>
        <v>7.943300000000001E-5</v>
      </c>
    </row>
    <row r="36" spans="3:26" x14ac:dyDescent="0.25">
      <c r="C36" s="16">
        <f t="shared" si="5"/>
        <v>7.943300000000001E-5</v>
      </c>
      <c r="D36" s="16">
        <f t="shared" si="5"/>
        <v>7.943300000000001E-5</v>
      </c>
      <c r="E36" s="16">
        <f t="shared" si="5"/>
        <v>7.943300000000001E-5</v>
      </c>
      <c r="F36" s="16">
        <f t="shared" si="5"/>
        <v>7.943300000000001E-5</v>
      </c>
      <c r="G36" s="16">
        <f t="shared" si="5"/>
        <v>7.943300000000001E-5</v>
      </c>
      <c r="H36" s="16">
        <f t="shared" si="5"/>
        <v>7.943300000000001E-5</v>
      </c>
      <c r="I36" s="16">
        <f t="shared" si="5"/>
        <v>7.943300000000001E-5</v>
      </c>
      <c r="J36" s="16">
        <f t="shared" si="5"/>
        <v>7.943300000000001E-5</v>
      </c>
      <c r="K36" s="16">
        <f t="shared" si="5"/>
        <v>7.943300000000001E-5</v>
      </c>
      <c r="L36" s="16">
        <f t="shared" si="5"/>
        <v>7.943300000000001E-5</v>
      </c>
      <c r="M36" s="16">
        <f t="shared" si="5"/>
        <v>7.943300000000001E-5</v>
      </c>
      <c r="N36" s="16">
        <f t="shared" si="5"/>
        <v>7.943300000000001E-5</v>
      </c>
      <c r="O36" s="16">
        <f t="shared" si="5"/>
        <v>7.943300000000001E-5</v>
      </c>
      <c r="P36" s="16">
        <f t="shared" si="5"/>
        <v>7.943300000000001E-5</v>
      </c>
      <c r="Q36" s="16">
        <f t="shared" si="5"/>
        <v>7.943300000000001E-5</v>
      </c>
      <c r="R36" s="16">
        <f t="shared" si="5"/>
        <v>7.943300000000001E-5</v>
      </c>
      <c r="S36" s="16">
        <f t="shared" si="4"/>
        <v>7.943300000000001E-5</v>
      </c>
      <c r="T36" s="16">
        <f t="shared" si="4"/>
        <v>7.943300000000001E-5</v>
      </c>
      <c r="U36" s="16">
        <f t="shared" si="4"/>
        <v>7.943300000000001E-5</v>
      </c>
      <c r="V36" s="16">
        <f t="shared" si="4"/>
        <v>7.943300000000001E-5</v>
      </c>
      <c r="W36" s="16">
        <f t="shared" si="3"/>
        <v>7.943300000000001E-5</v>
      </c>
      <c r="X36" s="16">
        <f t="shared" si="3"/>
        <v>7.943300000000001E-5</v>
      </c>
      <c r="Y36" s="16">
        <f t="shared" si="3"/>
        <v>7.943300000000001E-5</v>
      </c>
      <c r="Z36" s="16">
        <f t="shared" si="3"/>
        <v>7.943300000000001E-5</v>
      </c>
    </row>
    <row r="37" spans="3:26" x14ac:dyDescent="0.25">
      <c r="C37" s="16">
        <f t="shared" si="5"/>
        <v>7.943300000000001E-5</v>
      </c>
      <c r="D37" s="16">
        <f t="shared" si="5"/>
        <v>7.943300000000001E-5</v>
      </c>
      <c r="E37" s="16">
        <f t="shared" si="5"/>
        <v>7.943300000000001E-5</v>
      </c>
      <c r="F37" s="16">
        <f t="shared" si="5"/>
        <v>7.943300000000001E-5</v>
      </c>
      <c r="G37" s="16">
        <f t="shared" si="5"/>
        <v>7.943300000000001E-5</v>
      </c>
      <c r="H37" s="16">
        <f t="shared" si="5"/>
        <v>7.943300000000001E-5</v>
      </c>
      <c r="I37" s="16">
        <f t="shared" si="5"/>
        <v>7.943300000000001E-5</v>
      </c>
      <c r="J37" s="16">
        <f t="shared" si="5"/>
        <v>7.943300000000001E-5</v>
      </c>
      <c r="K37" s="16">
        <f t="shared" si="5"/>
        <v>7.943300000000001E-5</v>
      </c>
      <c r="L37" s="16">
        <f t="shared" si="5"/>
        <v>7.943300000000001E-5</v>
      </c>
      <c r="M37" s="16">
        <f t="shared" si="5"/>
        <v>7.943300000000001E-5</v>
      </c>
      <c r="N37" s="16">
        <f t="shared" si="5"/>
        <v>7.943300000000001E-5</v>
      </c>
      <c r="O37" s="16">
        <f t="shared" si="5"/>
        <v>7.943300000000001E-5</v>
      </c>
      <c r="P37" s="16">
        <f t="shared" si="5"/>
        <v>7.943300000000001E-5</v>
      </c>
      <c r="Q37" s="16">
        <f t="shared" si="5"/>
        <v>7.943300000000001E-5</v>
      </c>
      <c r="R37" s="16">
        <f t="shared" si="5"/>
        <v>7.943300000000001E-5</v>
      </c>
      <c r="S37" s="16">
        <f t="shared" si="4"/>
        <v>7.943300000000001E-5</v>
      </c>
      <c r="T37" s="16">
        <f t="shared" si="4"/>
        <v>7.943300000000001E-5</v>
      </c>
      <c r="U37" s="16">
        <f t="shared" si="4"/>
        <v>7.943300000000001E-5</v>
      </c>
      <c r="V37" s="16">
        <f t="shared" si="4"/>
        <v>7.943300000000001E-5</v>
      </c>
      <c r="W37" s="16">
        <f t="shared" si="3"/>
        <v>7.943300000000001E-5</v>
      </c>
      <c r="X37" s="16">
        <f t="shared" si="3"/>
        <v>7.943300000000001E-5</v>
      </c>
      <c r="Y37" s="16">
        <f t="shared" si="3"/>
        <v>7.943300000000001E-5</v>
      </c>
      <c r="Z37" s="16">
        <f t="shared" si="3"/>
        <v>7.943300000000001E-5</v>
      </c>
    </row>
    <row r="38" spans="3:26" x14ac:dyDescent="0.25">
      <c r="C38" s="16">
        <f t="shared" si="5"/>
        <v>7.943300000000001E-5</v>
      </c>
      <c r="D38" s="16">
        <f t="shared" si="5"/>
        <v>7.943300000000001E-5</v>
      </c>
      <c r="E38" s="16">
        <f t="shared" si="5"/>
        <v>7.943300000000001E-5</v>
      </c>
      <c r="F38" s="16">
        <f t="shared" si="5"/>
        <v>7.943300000000001E-5</v>
      </c>
      <c r="G38" s="16">
        <f t="shared" si="5"/>
        <v>7.943300000000001E-5</v>
      </c>
      <c r="H38" s="16">
        <f t="shared" si="5"/>
        <v>7.943300000000001E-5</v>
      </c>
      <c r="I38" s="16">
        <f t="shared" si="5"/>
        <v>7.943300000000001E-5</v>
      </c>
      <c r="J38" s="16">
        <f t="shared" si="5"/>
        <v>7.943300000000001E-5</v>
      </c>
      <c r="K38" s="16">
        <f t="shared" si="5"/>
        <v>7.943300000000001E-5</v>
      </c>
      <c r="L38" s="16">
        <f t="shared" si="5"/>
        <v>7.943300000000001E-5</v>
      </c>
      <c r="M38" s="16">
        <f t="shared" si="5"/>
        <v>7.943300000000001E-5</v>
      </c>
      <c r="N38" s="16">
        <f t="shared" si="5"/>
        <v>7.943300000000001E-5</v>
      </c>
      <c r="O38" s="16">
        <f t="shared" si="5"/>
        <v>7.943300000000001E-5</v>
      </c>
      <c r="P38" s="16">
        <f t="shared" si="5"/>
        <v>7.943300000000001E-5</v>
      </c>
      <c r="Q38" s="16">
        <f t="shared" si="5"/>
        <v>7.943300000000001E-5</v>
      </c>
      <c r="R38" s="16">
        <f t="shared" si="5"/>
        <v>7.943300000000001E-5</v>
      </c>
      <c r="S38" s="16">
        <f t="shared" si="4"/>
        <v>7.943300000000001E-5</v>
      </c>
      <c r="T38" s="16">
        <f t="shared" si="4"/>
        <v>7.943300000000001E-5</v>
      </c>
      <c r="U38" s="16">
        <f t="shared" si="4"/>
        <v>7.943300000000001E-5</v>
      </c>
      <c r="V38" s="16">
        <f t="shared" si="4"/>
        <v>7.943300000000001E-5</v>
      </c>
      <c r="W38" s="16">
        <f t="shared" si="3"/>
        <v>7.943300000000001E-5</v>
      </c>
      <c r="X38" s="16">
        <f t="shared" si="3"/>
        <v>7.943300000000001E-5</v>
      </c>
      <c r="Y38" s="16">
        <f t="shared" si="3"/>
        <v>7.943300000000001E-5</v>
      </c>
      <c r="Z38" s="16">
        <f t="shared" si="3"/>
        <v>7.943300000000001E-5</v>
      </c>
    </row>
    <row r="39" spans="3:26" x14ac:dyDescent="0.25">
      <c r="C39" s="16">
        <f t="shared" si="5"/>
        <v>7.943300000000001E-5</v>
      </c>
      <c r="D39" s="16">
        <f t="shared" si="5"/>
        <v>7.943300000000001E-5</v>
      </c>
      <c r="E39" s="16">
        <f t="shared" si="5"/>
        <v>7.943300000000001E-5</v>
      </c>
      <c r="F39" s="16">
        <f t="shared" si="5"/>
        <v>7.943300000000001E-5</v>
      </c>
      <c r="G39" s="16">
        <f t="shared" si="5"/>
        <v>7.943300000000001E-5</v>
      </c>
      <c r="H39" s="16">
        <f t="shared" si="5"/>
        <v>7.943300000000001E-5</v>
      </c>
      <c r="I39" s="16">
        <f t="shared" si="5"/>
        <v>7.943300000000001E-5</v>
      </c>
      <c r="J39" s="16">
        <f t="shared" si="5"/>
        <v>7.943300000000001E-5</v>
      </c>
      <c r="K39" s="16">
        <f t="shared" si="5"/>
        <v>7.943300000000001E-5</v>
      </c>
      <c r="L39" s="16">
        <f t="shared" si="5"/>
        <v>7.943300000000001E-5</v>
      </c>
      <c r="M39" s="16">
        <f t="shared" si="5"/>
        <v>7.943300000000001E-5</v>
      </c>
      <c r="N39" s="16">
        <f t="shared" si="5"/>
        <v>7.943300000000001E-5</v>
      </c>
      <c r="O39" s="16">
        <f t="shared" si="5"/>
        <v>7.943300000000001E-5</v>
      </c>
      <c r="P39" s="16">
        <f t="shared" si="5"/>
        <v>7.943300000000001E-5</v>
      </c>
      <c r="Q39" s="16">
        <f t="shared" si="5"/>
        <v>7.943300000000001E-5</v>
      </c>
      <c r="R39" s="16">
        <f t="shared" si="5"/>
        <v>7.943300000000001E-5</v>
      </c>
      <c r="S39" s="16">
        <f t="shared" si="4"/>
        <v>7.943300000000001E-5</v>
      </c>
      <c r="T39" s="16">
        <f t="shared" si="4"/>
        <v>7.943300000000001E-5</v>
      </c>
      <c r="U39" s="16">
        <f t="shared" si="4"/>
        <v>7.943300000000001E-5</v>
      </c>
      <c r="V39" s="16">
        <f t="shared" si="4"/>
        <v>7.943300000000001E-5</v>
      </c>
      <c r="W39" s="16">
        <f t="shared" si="3"/>
        <v>7.943300000000001E-5</v>
      </c>
      <c r="X39" s="16">
        <f t="shared" si="3"/>
        <v>7.943300000000001E-5</v>
      </c>
      <c r="Y39" s="16">
        <f t="shared" si="3"/>
        <v>7.943300000000001E-5</v>
      </c>
      <c r="Z39" s="16">
        <f t="shared" si="3"/>
        <v>7.943300000000001E-5</v>
      </c>
    </row>
    <row r="40" spans="3:26" x14ac:dyDescent="0.25">
      <c r="C40" s="16">
        <f t="shared" si="5"/>
        <v>7.943300000000001E-5</v>
      </c>
      <c r="D40" s="16">
        <f t="shared" si="5"/>
        <v>7.943300000000001E-5</v>
      </c>
      <c r="E40" s="16">
        <f t="shared" si="5"/>
        <v>7.943300000000001E-5</v>
      </c>
      <c r="F40" s="16">
        <f t="shared" si="5"/>
        <v>7.943300000000001E-5</v>
      </c>
      <c r="G40" s="16">
        <f t="shared" si="5"/>
        <v>7.943300000000001E-5</v>
      </c>
      <c r="H40" s="16">
        <f t="shared" si="5"/>
        <v>7.943300000000001E-5</v>
      </c>
      <c r="I40" s="16">
        <f t="shared" si="5"/>
        <v>7.943300000000001E-5</v>
      </c>
      <c r="J40" s="16">
        <f t="shared" si="5"/>
        <v>7.943300000000001E-5</v>
      </c>
      <c r="K40" s="16">
        <f t="shared" si="5"/>
        <v>7.943300000000001E-5</v>
      </c>
      <c r="L40" s="16">
        <f t="shared" si="5"/>
        <v>7.943300000000001E-5</v>
      </c>
      <c r="M40" s="16">
        <f t="shared" si="5"/>
        <v>7.943300000000001E-5</v>
      </c>
      <c r="N40" s="16">
        <f t="shared" si="5"/>
        <v>7.943300000000001E-5</v>
      </c>
      <c r="O40" s="16">
        <f t="shared" si="5"/>
        <v>7.943300000000001E-5</v>
      </c>
      <c r="P40" s="16">
        <f t="shared" si="5"/>
        <v>7.943300000000001E-5</v>
      </c>
      <c r="Q40" s="16">
        <f t="shared" si="5"/>
        <v>7.943300000000001E-5</v>
      </c>
      <c r="R40" s="16">
        <f t="shared" si="5"/>
        <v>7.943300000000001E-5</v>
      </c>
      <c r="S40" s="16">
        <f t="shared" si="4"/>
        <v>7.943300000000001E-5</v>
      </c>
      <c r="T40" s="16">
        <f t="shared" si="4"/>
        <v>7.943300000000001E-5</v>
      </c>
      <c r="U40" s="16">
        <f t="shared" si="4"/>
        <v>7.943300000000001E-5</v>
      </c>
      <c r="V40" s="16">
        <f t="shared" si="4"/>
        <v>7.943300000000001E-5</v>
      </c>
      <c r="W40" s="16">
        <f t="shared" si="3"/>
        <v>7.943300000000001E-5</v>
      </c>
      <c r="X40" s="16">
        <f t="shared" si="3"/>
        <v>7.943300000000001E-5</v>
      </c>
      <c r="Y40" s="16">
        <f t="shared" si="3"/>
        <v>7.943300000000001E-5</v>
      </c>
      <c r="Z40" s="16">
        <f t="shared" si="3"/>
        <v>7.943300000000001E-5</v>
      </c>
    </row>
    <row r="41" spans="3:26" x14ac:dyDescent="0.25">
      <c r="C41" s="16">
        <f t="shared" si="5"/>
        <v>7.943300000000001E-5</v>
      </c>
      <c r="D41" s="16">
        <f t="shared" si="5"/>
        <v>7.943300000000001E-5</v>
      </c>
      <c r="E41" s="16">
        <f t="shared" si="5"/>
        <v>7.943300000000001E-5</v>
      </c>
      <c r="F41" s="16">
        <f t="shared" si="5"/>
        <v>7.943300000000001E-5</v>
      </c>
      <c r="G41" s="16">
        <f t="shared" si="5"/>
        <v>7.943300000000001E-5</v>
      </c>
      <c r="H41" s="16">
        <f t="shared" si="5"/>
        <v>7.943300000000001E-5</v>
      </c>
      <c r="I41" s="16">
        <f t="shared" si="5"/>
        <v>7.943300000000001E-5</v>
      </c>
      <c r="J41" s="16">
        <f t="shared" si="5"/>
        <v>7.943300000000001E-5</v>
      </c>
      <c r="K41" s="16">
        <f t="shared" si="5"/>
        <v>7.943300000000001E-5</v>
      </c>
      <c r="L41" s="16">
        <f t="shared" si="5"/>
        <v>7.943300000000001E-5</v>
      </c>
      <c r="M41" s="16">
        <f t="shared" si="5"/>
        <v>7.943300000000001E-5</v>
      </c>
      <c r="N41" s="16">
        <f t="shared" si="5"/>
        <v>7.943300000000001E-5</v>
      </c>
      <c r="O41" s="16">
        <f t="shared" si="5"/>
        <v>7.943300000000001E-5</v>
      </c>
      <c r="P41" s="16">
        <f t="shared" si="5"/>
        <v>7.943300000000001E-5</v>
      </c>
      <c r="Q41" s="16">
        <f t="shared" si="5"/>
        <v>7.943300000000001E-5</v>
      </c>
      <c r="R41" s="16">
        <f t="shared" si="5"/>
        <v>7.943300000000001E-5</v>
      </c>
      <c r="S41" s="16">
        <f t="shared" si="4"/>
        <v>7.943300000000001E-5</v>
      </c>
      <c r="T41" s="16">
        <f t="shared" si="4"/>
        <v>7.943300000000001E-5</v>
      </c>
      <c r="U41" s="16">
        <f t="shared" si="4"/>
        <v>7.943300000000001E-5</v>
      </c>
      <c r="V41" s="16">
        <f t="shared" si="4"/>
        <v>7.943300000000001E-5</v>
      </c>
      <c r="W41" s="16">
        <f t="shared" si="3"/>
        <v>7.943300000000001E-5</v>
      </c>
      <c r="X41" s="16">
        <f t="shared" si="3"/>
        <v>7.943300000000001E-5</v>
      </c>
      <c r="Y41" s="16">
        <f t="shared" si="3"/>
        <v>7.943300000000001E-5</v>
      </c>
      <c r="Z41" s="16">
        <f t="shared" si="3"/>
        <v>7.943300000000001E-5</v>
      </c>
    </row>
    <row r="42" spans="3:26" x14ac:dyDescent="0.25">
      <c r="C42" s="16">
        <f t="shared" si="5"/>
        <v>7.943300000000001E-5</v>
      </c>
      <c r="D42" s="16">
        <f t="shared" si="5"/>
        <v>7.943300000000001E-5</v>
      </c>
      <c r="E42" s="16">
        <f t="shared" si="5"/>
        <v>7.943300000000001E-5</v>
      </c>
      <c r="F42" s="16">
        <f t="shared" si="5"/>
        <v>7.943300000000001E-5</v>
      </c>
      <c r="G42" s="16">
        <f t="shared" si="5"/>
        <v>7.943300000000001E-5</v>
      </c>
      <c r="H42" s="16">
        <f t="shared" si="5"/>
        <v>7.943300000000001E-5</v>
      </c>
      <c r="I42" s="16">
        <f t="shared" si="5"/>
        <v>7.943300000000001E-5</v>
      </c>
      <c r="J42" s="16">
        <f t="shared" si="5"/>
        <v>7.943300000000001E-5</v>
      </c>
      <c r="K42" s="16">
        <f t="shared" si="5"/>
        <v>7.943300000000001E-5</v>
      </c>
      <c r="L42" s="16">
        <f t="shared" si="5"/>
        <v>7.943300000000001E-5</v>
      </c>
      <c r="M42" s="16">
        <f t="shared" si="5"/>
        <v>7.943300000000001E-5</v>
      </c>
      <c r="N42" s="16">
        <f t="shared" si="5"/>
        <v>7.943300000000001E-5</v>
      </c>
      <c r="O42" s="16">
        <f t="shared" si="5"/>
        <v>7.943300000000001E-5</v>
      </c>
      <c r="P42" s="16">
        <f t="shared" si="5"/>
        <v>7.943300000000001E-5</v>
      </c>
      <c r="Q42" s="16">
        <f t="shared" si="5"/>
        <v>7.943300000000001E-5</v>
      </c>
      <c r="R42" s="16">
        <f t="shared" si="5"/>
        <v>7.943300000000001E-5</v>
      </c>
      <c r="S42" s="16">
        <f t="shared" si="4"/>
        <v>7.943300000000001E-5</v>
      </c>
      <c r="T42" s="16">
        <f t="shared" si="4"/>
        <v>7.943300000000001E-5</v>
      </c>
      <c r="U42" s="16">
        <f t="shared" si="4"/>
        <v>7.943300000000001E-5</v>
      </c>
      <c r="V42" s="16">
        <f t="shared" si="4"/>
        <v>7.943300000000001E-5</v>
      </c>
      <c r="W42" s="16">
        <f t="shared" si="3"/>
        <v>7.943300000000001E-5</v>
      </c>
      <c r="X42" s="16">
        <f t="shared" si="3"/>
        <v>7.943300000000001E-5</v>
      </c>
      <c r="Y42" s="16">
        <f t="shared" si="3"/>
        <v>7.943300000000001E-5</v>
      </c>
      <c r="Z42" s="16">
        <f t="shared" si="3"/>
        <v>7.943300000000001E-5</v>
      </c>
    </row>
    <row r="43" spans="3:26" x14ac:dyDescent="0.25">
      <c r="C43" s="16">
        <f t="shared" si="5"/>
        <v>7.943300000000001E-5</v>
      </c>
      <c r="D43" s="16">
        <f t="shared" si="5"/>
        <v>7.943300000000001E-5</v>
      </c>
      <c r="E43" s="16">
        <f t="shared" si="5"/>
        <v>7.943300000000001E-5</v>
      </c>
      <c r="F43" s="16">
        <f t="shared" si="5"/>
        <v>7.943300000000001E-5</v>
      </c>
      <c r="G43" s="16">
        <f t="shared" si="5"/>
        <v>7.943300000000001E-5</v>
      </c>
      <c r="H43" s="16">
        <f t="shared" si="5"/>
        <v>7.943300000000001E-5</v>
      </c>
      <c r="I43" s="16">
        <f t="shared" si="5"/>
        <v>7.943300000000001E-5</v>
      </c>
      <c r="J43" s="16">
        <f t="shared" si="5"/>
        <v>7.943300000000001E-5</v>
      </c>
      <c r="K43" s="16">
        <f t="shared" si="5"/>
        <v>7.943300000000001E-5</v>
      </c>
      <c r="L43" s="16">
        <f t="shared" si="5"/>
        <v>7.943300000000001E-5</v>
      </c>
      <c r="M43" s="16">
        <f t="shared" si="5"/>
        <v>7.943300000000001E-5</v>
      </c>
      <c r="N43" s="16">
        <f t="shared" si="5"/>
        <v>7.943300000000001E-5</v>
      </c>
      <c r="O43" s="16">
        <f t="shared" si="5"/>
        <v>7.943300000000001E-5</v>
      </c>
      <c r="P43" s="16">
        <f t="shared" si="5"/>
        <v>7.943300000000001E-5</v>
      </c>
      <c r="Q43" s="16">
        <f t="shared" si="5"/>
        <v>7.943300000000001E-5</v>
      </c>
      <c r="R43" s="16">
        <f t="shared" si="5"/>
        <v>7.943300000000001E-5</v>
      </c>
      <c r="S43" s="16">
        <f t="shared" si="4"/>
        <v>7.943300000000001E-5</v>
      </c>
      <c r="T43" s="16">
        <f t="shared" si="4"/>
        <v>7.943300000000001E-5</v>
      </c>
      <c r="U43" s="16">
        <f t="shared" si="4"/>
        <v>7.943300000000001E-5</v>
      </c>
      <c r="V43" s="16">
        <f t="shared" si="4"/>
        <v>7.943300000000001E-5</v>
      </c>
      <c r="W43" s="16">
        <f t="shared" si="3"/>
        <v>7.943300000000001E-5</v>
      </c>
      <c r="X43" s="16">
        <f t="shared" si="3"/>
        <v>7.943300000000001E-5</v>
      </c>
      <c r="Y43" s="16">
        <f t="shared" si="3"/>
        <v>7.943300000000001E-5</v>
      </c>
      <c r="Z43" s="16">
        <f t="shared" si="3"/>
        <v>7.943300000000001E-5</v>
      </c>
    </row>
    <row r="44" spans="3:26" x14ac:dyDescent="0.25">
      <c r="C44" s="16">
        <f t="shared" si="5"/>
        <v>7.943300000000001E-5</v>
      </c>
      <c r="D44" s="16">
        <f t="shared" si="5"/>
        <v>7.943300000000001E-5</v>
      </c>
      <c r="E44" s="16">
        <f t="shared" si="5"/>
        <v>7.943300000000001E-5</v>
      </c>
      <c r="F44" s="16">
        <f t="shared" si="5"/>
        <v>7.943300000000001E-5</v>
      </c>
      <c r="G44" s="16">
        <f t="shared" si="5"/>
        <v>7.943300000000001E-5</v>
      </c>
      <c r="H44" s="16">
        <f t="shared" si="5"/>
        <v>7.943300000000001E-5</v>
      </c>
      <c r="I44" s="16">
        <f t="shared" si="5"/>
        <v>7.943300000000001E-5</v>
      </c>
      <c r="J44" s="16">
        <f t="shared" si="5"/>
        <v>7.943300000000001E-5</v>
      </c>
      <c r="K44" s="16">
        <f t="shared" si="5"/>
        <v>7.943300000000001E-5</v>
      </c>
      <c r="L44" s="16">
        <f t="shared" si="5"/>
        <v>7.943300000000001E-5</v>
      </c>
      <c r="M44" s="16">
        <f t="shared" si="5"/>
        <v>7.943300000000001E-5</v>
      </c>
      <c r="N44" s="16">
        <f t="shared" si="5"/>
        <v>7.943300000000001E-5</v>
      </c>
      <c r="O44" s="16">
        <f t="shared" si="5"/>
        <v>7.943300000000001E-5</v>
      </c>
      <c r="P44" s="16">
        <f t="shared" si="5"/>
        <v>7.943300000000001E-5</v>
      </c>
      <c r="Q44" s="16">
        <f t="shared" si="5"/>
        <v>7.943300000000001E-5</v>
      </c>
      <c r="R44" s="16">
        <f t="shared" si="5"/>
        <v>7.943300000000001E-5</v>
      </c>
      <c r="S44" s="16">
        <f t="shared" si="4"/>
        <v>7.943300000000001E-5</v>
      </c>
      <c r="T44" s="16">
        <f t="shared" si="4"/>
        <v>7.943300000000001E-5</v>
      </c>
      <c r="U44" s="16">
        <f t="shared" si="4"/>
        <v>7.943300000000001E-5</v>
      </c>
      <c r="V44" s="16">
        <f t="shared" si="4"/>
        <v>7.943300000000001E-5</v>
      </c>
      <c r="W44" s="16">
        <f t="shared" si="3"/>
        <v>7.943300000000001E-5</v>
      </c>
      <c r="X44" s="16">
        <f t="shared" si="3"/>
        <v>7.943300000000001E-5</v>
      </c>
      <c r="Y44" s="16">
        <f t="shared" si="3"/>
        <v>7.943300000000001E-5</v>
      </c>
      <c r="Z44" s="16">
        <f t="shared" si="3"/>
        <v>7.943300000000001E-5</v>
      </c>
    </row>
    <row r="45" spans="3:26" x14ac:dyDescent="0.25">
      <c r="C45" s="16">
        <f t="shared" si="5"/>
        <v>7.943300000000001E-5</v>
      </c>
      <c r="D45" s="16">
        <f t="shared" si="5"/>
        <v>7.943300000000001E-5</v>
      </c>
      <c r="E45" s="16">
        <f t="shared" si="5"/>
        <v>7.943300000000001E-5</v>
      </c>
      <c r="F45" s="16">
        <f t="shared" si="5"/>
        <v>7.943300000000001E-5</v>
      </c>
      <c r="G45" s="16">
        <f t="shared" si="5"/>
        <v>7.943300000000001E-5</v>
      </c>
      <c r="H45" s="16">
        <f t="shared" si="5"/>
        <v>7.943300000000001E-5</v>
      </c>
      <c r="I45" s="16">
        <f t="shared" si="5"/>
        <v>7.943300000000001E-5</v>
      </c>
      <c r="J45" s="16">
        <f t="shared" si="5"/>
        <v>7.943300000000001E-5</v>
      </c>
      <c r="K45" s="16">
        <f t="shared" si="5"/>
        <v>7.943300000000001E-5</v>
      </c>
      <c r="L45" s="16">
        <f t="shared" si="5"/>
        <v>7.943300000000001E-5</v>
      </c>
      <c r="M45" s="16">
        <f t="shared" si="5"/>
        <v>7.943300000000001E-5</v>
      </c>
      <c r="N45" s="16">
        <f t="shared" si="5"/>
        <v>7.943300000000001E-5</v>
      </c>
      <c r="O45" s="16">
        <f t="shared" si="5"/>
        <v>7.943300000000001E-5</v>
      </c>
      <c r="P45" s="16">
        <f t="shared" si="5"/>
        <v>7.943300000000001E-5</v>
      </c>
      <c r="Q45" s="16">
        <f t="shared" si="5"/>
        <v>7.943300000000001E-5</v>
      </c>
      <c r="R45" s="16">
        <f t="shared" si="5"/>
        <v>7.943300000000001E-5</v>
      </c>
      <c r="S45" s="16">
        <f t="shared" si="4"/>
        <v>7.943300000000001E-5</v>
      </c>
      <c r="T45" s="16">
        <f t="shared" si="4"/>
        <v>7.943300000000001E-5</v>
      </c>
      <c r="U45" s="16">
        <f t="shared" si="4"/>
        <v>7.943300000000001E-5</v>
      </c>
      <c r="V45" s="16">
        <f t="shared" si="4"/>
        <v>7.943300000000001E-5</v>
      </c>
      <c r="W45" s="16">
        <f t="shared" si="3"/>
        <v>7.943300000000001E-5</v>
      </c>
      <c r="X45" s="16">
        <f t="shared" si="3"/>
        <v>7.943300000000001E-5</v>
      </c>
      <c r="Y45" s="16">
        <f t="shared" si="3"/>
        <v>7.943300000000001E-5</v>
      </c>
      <c r="Z45" s="16">
        <f t="shared" si="3"/>
        <v>7.943300000000001E-5</v>
      </c>
    </row>
    <row r="46" spans="3:26" x14ac:dyDescent="0.25">
      <c r="C46" s="16">
        <f t="shared" si="5"/>
        <v>7.943300000000001E-5</v>
      </c>
      <c r="D46" s="16">
        <f t="shared" si="5"/>
        <v>7.943300000000001E-5</v>
      </c>
      <c r="E46" s="16">
        <f t="shared" si="5"/>
        <v>7.943300000000001E-5</v>
      </c>
      <c r="F46" s="16">
        <f t="shared" si="5"/>
        <v>7.943300000000001E-5</v>
      </c>
      <c r="G46" s="16">
        <f t="shared" si="5"/>
        <v>7.943300000000001E-5</v>
      </c>
      <c r="H46" s="16">
        <f t="shared" si="5"/>
        <v>7.943300000000001E-5</v>
      </c>
      <c r="I46" s="16">
        <f t="shared" si="5"/>
        <v>7.943300000000001E-5</v>
      </c>
      <c r="J46" s="16">
        <f t="shared" si="5"/>
        <v>7.943300000000001E-5</v>
      </c>
      <c r="K46" s="16">
        <f t="shared" si="5"/>
        <v>7.943300000000001E-5</v>
      </c>
      <c r="L46" s="16">
        <f t="shared" si="5"/>
        <v>7.943300000000001E-5</v>
      </c>
      <c r="M46" s="16">
        <f t="shared" si="5"/>
        <v>7.943300000000001E-5</v>
      </c>
      <c r="N46" s="16">
        <f t="shared" si="5"/>
        <v>7.943300000000001E-5</v>
      </c>
      <c r="O46" s="16">
        <f t="shared" si="5"/>
        <v>7.943300000000001E-5</v>
      </c>
      <c r="P46" s="16">
        <f t="shared" si="5"/>
        <v>7.943300000000001E-5</v>
      </c>
      <c r="Q46" s="16">
        <f t="shared" si="5"/>
        <v>7.943300000000001E-5</v>
      </c>
      <c r="R46" s="16">
        <f t="shared" si="5"/>
        <v>7.943300000000001E-5</v>
      </c>
      <c r="S46" s="16">
        <f t="shared" si="4"/>
        <v>7.943300000000001E-5</v>
      </c>
      <c r="T46" s="16">
        <f t="shared" si="4"/>
        <v>7.943300000000001E-5</v>
      </c>
      <c r="U46" s="16">
        <f t="shared" si="4"/>
        <v>7.943300000000001E-5</v>
      </c>
      <c r="V46" s="16">
        <f t="shared" si="4"/>
        <v>7.943300000000001E-5</v>
      </c>
      <c r="W46" s="16">
        <f t="shared" si="3"/>
        <v>7.943300000000001E-5</v>
      </c>
      <c r="X46" s="16">
        <f t="shared" si="3"/>
        <v>7.943300000000001E-5</v>
      </c>
      <c r="Y46" s="16">
        <f t="shared" si="3"/>
        <v>7.943300000000001E-5</v>
      </c>
      <c r="Z46" s="16">
        <f t="shared" si="3"/>
        <v>7.943300000000001E-5</v>
      </c>
    </row>
    <row r="47" spans="3:26" x14ac:dyDescent="0.25">
      <c r="C47" s="16">
        <f t="shared" si="5"/>
        <v>7.943300000000001E-5</v>
      </c>
      <c r="D47" s="16">
        <f t="shared" si="5"/>
        <v>7.943300000000001E-5</v>
      </c>
      <c r="E47" s="16">
        <f t="shared" si="5"/>
        <v>7.943300000000001E-5</v>
      </c>
      <c r="F47" s="16">
        <f t="shared" si="5"/>
        <v>7.943300000000001E-5</v>
      </c>
      <c r="G47" s="16">
        <f t="shared" si="5"/>
        <v>7.943300000000001E-5</v>
      </c>
      <c r="H47" s="16">
        <f t="shared" si="5"/>
        <v>7.943300000000001E-5</v>
      </c>
      <c r="I47" s="16">
        <f t="shared" si="5"/>
        <v>7.943300000000001E-5</v>
      </c>
      <c r="J47" s="16">
        <f t="shared" si="5"/>
        <v>7.943300000000001E-5</v>
      </c>
      <c r="K47" s="16">
        <f t="shared" si="5"/>
        <v>7.943300000000001E-5</v>
      </c>
      <c r="L47" s="16">
        <f t="shared" si="5"/>
        <v>7.943300000000001E-5</v>
      </c>
      <c r="M47" s="16">
        <f t="shared" si="5"/>
        <v>7.943300000000001E-5</v>
      </c>
      <c r="N47" s="16">
        <f t="shared" si="5"/>
        <v>7.943300000000001E-5</v>
      </c>
      <c r="O47" s="16">
        <f t="shared" si="5"/>
        <v>7.943300000000001E-5</v>
      </c>
      <c r="P47" s="16">
        <f t="shared" si="5"/>
        <v>7.943300000000001E-5</v>
      </c>
      <c r="Q47" s="16">
        <f t="shared" si="5"/>
        <v>7.943300000000001E-5</v>
      </c>
      <c r="R47" s="16">
        <f t="shared" si="5"/>
        <v>7.943300000000001E-5</v>
      </c>
      <c r="S47" s="16">
        <f t="shared" si="4"/>
        <v>7.943300000000001E-5</v>
      </c>
      <c r="T47" s="16">
        <f t="shared" si="4"/>
        <v>7.943300000000001E-5</v>
      </c>
      <c r="U47" s="16">
        <f t="shared" si="4"/>
        <v>7.943300000000001E-5</v>
      </c>
      <c r="V47" s="16">
        <f t="shared" si="4"/>
        <v>7.943300000000001E-5</v>
      </c>
      <c r="W47" s="16">
        <f t="shared" si="3"/>
        <v>7.943300000000001E-5</v>
      </c>
      <c r="X47" s="16">
        <f t="shared" si="3"/>
        <v>7.943300000000001E-5</v>
      </c>
      <c r="Y47" s="16">
        <f t="shared" si="3"/>
        <v>7.943300000000001E-5</v>
      </c>
      <c r="Z47" s="16">
        <f t="shared" si="3"/>
        <v>7.943300000000001E-5</v>
      </c>
    </row>
    <row r="48" spans="3:26" x14ac:dyDescent="0.25">
      <c r="C48" s="16">
        <f t="shared" si="5"/>
        <v>7.943300000000001E-5</v>
      </c>
      <c r="D48" s="16">
        <f t="shared" si="5"/>
        <v>7.943300000000001E-5</v>
      </c>
      <c r="E48" s="16">
        <f t="shared" si="5"/>
        <v>7.943300000000001E-5</v>
      </c>
      <c r="F48" s="16">
        <f t="shared" si="5"/>
        <v>7.943300000000001E-5</v>
      </c>
      <c r="G48" s="16">
        <f t="shared" si="5"/>
        <v>7.943300000000001E-5</v>
      </c>
      <c r="H48" s="16">
        <f t="shared" si="5"/>
        <v>7.943300000000001E-5</v>
      </c>
      <c r="I48" s="16">
        <f t="shared" si="5"/>
        <v>7.943300000000001E-5</v>
      </c>
      <c r="J48" s="16">
        <f t="shared" si="5"/>
        <v>7.943300000000001E-5</v>
      </c>
      <c r="K48" s="16">
        <f t="shared" si="5"/>
        <v>7.943300000000001E-5</v>
      </c>
      <c r="L48" s="16">
        <f t="shared" si="5"/>
        <v>7.943300000000001E-5</v>
      </c>
      <c r="M48" s="16">
        <f t="shared" si="5"/>
        <v>7.943300000000001E-5</v>
      </c>
      <c r="N48" s="16">
        <f t="shared" si="5"/>
        <v>7.943300000000001E-5</v>
      </c>
      <c r="O48" s="16">
        <f t="shared" si="5"/>
        <v>7.943300000000001E-5</v>
      </c>
      <c r="P48" s="16">
        <f t="shared" si="5"/>
        <v>7.943300000000001E-5</v>
      </c>
      <c r="Q48" s="16">
        <f t="shared" si="5"/>
        <v>7.943300000000001E-5</v>
      </c>
      <c r="R48" s="16">
        <f t="shared" ref="R48:Z63" si="6">$B$9</f>
        <v>7.943300000000001E-5</v>
      </c>
      <c r="S48" s="16">
        <f t="shared" si="6"/>
        <v>7.943300000000001E-5</v>
      </c>
      <c r="T48" s="16">
        <f t="shared" si="6"/>
        <v>7.943300000000001E-5</v>
      </c>
      <c r="U48" s="16">
        <f t="shared" si="6"/>
        <v>7.943300000000001E-5</v>
      </c>
      <c r="V48" s="16">
        <f t="shared" si="6"/>
        <v>7.943300000000001E-5</v>
      </c>
      <c r="W48" s="16">
        <f t="shared" si="6"/>
        <v>7.943300000000001E-5</v>
      </c>
      <c r="X48" s="16">
        <f t="shared" si="6"/>
        <v>7.943300000000001E-5</v>
      </c>
      <c r="Y48" s="16">
        <f t="shared" si="6"/>
        <v>7.943300000000001E-5</v>
      </c>
      <c r="Z48" s="16">
        <f t="shared" si="6"/>
        <v>7.943300000000001E-5</v>
      </c>
    </row>
    <row r="49" spans="3:26" x14ac:dyDescent="0.25">
      <c r="C49" s="16">
        <f t="shared" ref="C49:R63" si="7">$B$9</f>
        <v>7.943300000000001E-5</v>
      </c>
      <c r="D49" s="16">
        <f t="shared" si="7"/>
        <v>7.943300000000001E-5</v>
      </c>
      <c r="E49" s="16">
        <f t="shared" si="7"/>
        <v>7.943300000000001E-5</v>
      </c>
      <c r="F49" s="16">
        <f t="shared" si="7"/>
        <v>7.943300000000001E-5</v>
      </c>
      <c r="G49" s="16">
        <f t="shared" si="7"/>
        <v>7.943300000000001E-5</v>
      </c>
      <c r="H49" s="16">
        <f t="shared" si="7"/>
        <v>7.943300000000001E-5</v>
      </c>
      <c r="I49" s="16">
        <f t="shared" si="7"/>
        <v>7.943300000000001E-5</v>
      </c>
      <c r="J49" s="16">
        <f t="shared" si="7"/>
        <v>7.943300000000001E-5</v>
      </c>
      <c r="K49" s="16">
        <f t="shared" si="7"/>
        <v>7.943300000000001E-5</v>
      </c>
      <c r="L49" s="16">
        <f t="shared" si="7"/>
        <v>7.943300000000001E-5</v>
      </c>
      <c r="M49" s="16">
        <f t="shared" si="7"/>
        <v>7.943300000000001E-5</v>
      </c>
      <c r="N49" s="16">
        <f t="shared" si="7"/>
        <v>7.943300000000001E-5</v>
      </c>
      <c r="O49" s="16">
        <f t="shared" si="7"/>
        <v>7.943300000000001E-5</v>
      </c>
      <c r="P49" s="16">
        <f t="shared" si="7"/>
        <v>7.943300000000001E-5</v>
      </c>
      <c r="Q49" s="16">
        <f t="shared" si="7"/>
        <v>7.943300000000001E-5</v>
      </c>
      <c r="R49" s="16">
        <f t="shared" si="7"/>
        <v>7.943300000000001E-5</v>
      </c>
      <c r="S49" s="16">
        <f t="shared" si="6"/>
        <v>7.943300000000001E-5</v>
      </c>
      <c r="T49" s="16">
        <f t="shared" si="6"/>
        <v>7.943300000000001E-5</v>
      </c>
      <c r="U49" s="16">
        <f t="shared" si="6"/>
        <v>7.943300000000001E-5</v>
      </c>
      <c r="V49" s="16">
        <f t="shared" si="6"/>
        <v>7.943300000000001E-5</v>
      </c>
      <c r="W49" s="16">
        <f t="shared" si="6"/>
        <v>7.943300000000001E-5</v>
      </c>
      <c r="X49" s="16">
        <f t="shared" si="6"/>
        <v>7.943300000000001E-5</v>
      </c>
      <c r="Y49" s="16">
        <f t="shared" si="6"/>
        <v>7.943300000000001E-5</v>
      </c>
      <c r="Z49" s="16">
        <f t="shared" si="6"/>
        <v>7.943300000000001E-5</v>
      </c>
    </row>
    <row r="50" spans="3:26" x14ac:dyDescent="0.25">
      <c r="C50" s="16">
        <f t="shared" si="7"/>
        <v>7.943300000000001E-5</v>
      </c>
      <c r="D50" s="16">
        <f t="shared" si="7"/>
        <v>7.943300000000001E-5</v>
      </c>
      <c r="E50" s="16">
        <f t="shared" si="7"/>
        <v>7.943300000000001E-5</v>
      </c>
      <c r="F50" s="16">
        <f t="shared" si="7"/>
        <v>7.943300000000001E-5</v>
      </c>
      <c r="G50" s="16">
        <f t="shared" si="7"/>
        <v>7.943300000000001E-5</v>
      </c>
      <c r="H50" s="16">
        <f t="shared" si="7"/>
        <v>7.943300000000001E-5</v>
      </c>
      <c r="I50" s="16">
        <f t="shared" si="7"/>
        <v>7.943300000000001E-5</v>
      </c>
      <c r="J50" s="16">
        <f t="shared" si="7"/>
        <v>7.943300000000001E-5</v>
      </c>
      <c r="K50" s="16">
        <f t="shared" si="7"/>
        <v>7.943300000000001E-5</v>
      </c>
      <c r="L50" s="16">
        <f t="shared" si="7"/>
        <v>7.943300000000001E-5</v>
      </c>
      <c r="M50" s="16">
        <f t="shared" si="7"/>
        <v>7.943300000000001E-5</v>
      </c>
      <c r="N50" s="16">
        <f t="shared" si="7"/>
        <v>7.943300000000001E-5</v>
      </c>
      <c r="O50" s="16">
        <f t="shared" si="7"/>
        <v>7.943300000000001E-5</v>
      </c>
      <c r="P50" s="16">
        <f t="shared" si="7"/>
        <v>7.943300000000001E-5</v>
      </c>
      <c r="Q50" s="16">
        <f t="shared" si="7"/>
        <v>7.943300000000001E-5</v>
      </c>
      <c r="R50" s="16">
        <f t="shared" si="7"/>
        <v>7.943300000000001E-5</v>
      </c>
      <c r="S50" s="16">
        <f t="shared" si="6"/>
        <v>7.943300000000001E-5</v>
      </c>
      <c r="T50" s="16">
        <f t="shared" si="6"/>
        <v>7.943300000000001E-5</v>
      </c>
      <c r="U50" s="16">
        <f t="shared" si="6"/>
        <v>7.943300000000001E-5</v>
      </c>
      <c r="V50" s="16">
        <f t="shared" si="6"/>
        <v>7.943300000000001E-5</v>
      </c>
      <c r="W50" s="16">
        <f t="shared" si="6"/>
        <v>7.943300000000001E-5</v>
      </c>
      <c r="X50" s="16">
        <f t="shared" si="6"/>
        <v>7.943300000000001E-5</v>
      </c>
      <c r="Y50" s="16">
        <f t="shared" si="6"/>
        <v>7.943300000000001E-5</v>
      </c>
      <c r="Z50" s="16">
        <f t="shared" si="6"/>
        <v>7.943300000000001E-5</v>
      </c>
    </row>
    <row r="51" spans="3:26" x14ac:dyDescent="0.25">
      <c r="C51" s="16">
        <f t="shared" si="7"/>
        <v>7.943300000000001E-5</v>
      </c>
      <c r="D51" s="16">
        <f t="shared" si="7"/>
        <v>7.943300000000001E-5</v>
      </c>
      <c r="E51" s="16">
        <f t="shared" si="7"/>
        <v>7.943300000000001E-5</v>
      </c>
      <c r="F51" s="16">
        <f t="shared" si="7"/>
        <v>7.943300000000001E-5</v>
      </c>
      <c r="G51" s="16">
        <f t="shared" si="7"/>
        <v>7.943300000000001E-5</v>
      </c>
      <c r="H51" s="16">
        <f t="shared" si="7"/>
        <v>7.943300000000001E-5</v>
      </c>
      <c r="I51" s="16">
        <f t="shared" si="7"/>
        <v>7.943300000000001E-5</v>
      </c>
      <c r="J51" s="16">
        <f t="shared" si="7"/>
        <v>7.943300000000001E-5</v>
      </c>
      <c r="K51" s="16">
        <f t="shared" si="7"/>
        <v>7.943300000000001E-5</v>
      </c>
      <c r="L51" s="16">
        <f t="shared" si="7"/>
        <v>7.943300000000001E-5</v>
      </c>
      <c r="M51" s="16">
        <f t="shared" si="7"/>
        <v>7.943300000000001E-5</v>
      </c>
      <c r="N51" s="16">
        <f t="shared" si="7"/>
        <v>7.943300000000001E-5</v>
      </c>
      <c r="O51" s="16">
        <f t="shared" si="7"/>
        <v>7.943300000000001E-5</v>
      </c>
      <c r="P51" s="16">
        <f t="shared" si="7"/>
        <v>7.943300000000001E-5</v>
      </c>
      <c r="Q51" s="16">
        <f t="shared" si="7"/>
        <v>7.943300000000001E-5</v>
      </c>
      <c r="R51" s="16">
        <f t="shared" si="7"/>
        <v>7.943300000000001E-5</v>
      </c>
      <c r="S51" s="16">
        <f t="shared" si="6"/>
        <v>7.943300000000001E-5</v>
      </c>
      <c r="T51" s="16">
        <f t="shared" si="6"/>
        <v>7.943300000000001E-5</v>
      </c>
      <c r="U51" s="16">
        <f t="shared" si="6"/>
        <v>7.943300000000001E-5</v>
      </c>
      <c r="V51" s="16">
        <f t="shared" si="6"/>
        <v>7.943300000000001E-5</v>
      </c>
      <c r="W51" s="16">
        <f t="shared" si="6"/>
        <v>7.943300000000001E-5</v>
      </c>
      <c r="X51" s="16">
        <f t="shared" si="6"/>
        <v>7.943300000000001E-5</v>
      </c>
      <c r="Y51" s="16">
        <f t="shared" si="6"/>
        <v>7.943300000000001E-5</v>
      </c>
      <c r="Z51" s="16">
        <f t="shared" si="6"/>
        <v>7.943300000000001E-5</v>
      </c>
    </row>
    <row r="52" spans="3:26" x14ac:dyDescent="0.25">
      <c r="C52" s="16">
        <f t="shared" si="7"/>
        <v>7.943300000000001E-5</v>
      </c>
      <c r="D52" s="16">
        <f t="shared" si="7"/>
        <v>7.943300000000001E-5</v>
      </c>
      <c r="E52" s="16">
        <f t="shared" si="7"/>
        <v>7.943300000000001E-5</v>
      </c>
      <c r="F52" s="16">
        <f t="shared" si="7"/>
        <v>7.943300000000001E-5</v>
      </c>
      <c r="G52" s="16">
        <f t="shared" si="7"/>
        <v>7.943300000000001E-5</v>
      </c>
      <c r="H52" s="16">
        <f t="shared" si="7"/>
        <v>7.943300000000001E-5</v>
      </c>
      <c r="I52" s="16">
        <f t="shared" si="7"/>
        <v>7.943300000000001E-5</v>
      </c>
      <c r="J52" s="16">
        <f t="shared" si="7"/>
        <v>7.943300000000001E-5</v>
      </c>
      <c r="K52" s="16">
        <f t="shared" si="7"/>
        <v>7.943300000000001E-5</v>
      </c>
      <c r="L52" s="16">
        <f t="shared" si="7"/>
        <v>7.943300000000001E-5</v>
      </c>
      <c r="M52" s="16">
        <f t="shared" si="7"/>
        <v>7.943300000000001E-5</v>
      </c>
      <c r="N52" s="16">
        <f t="shared" si="7"/>
        <v>7.943300000000001E-5</v>
      </c>
      <c r="O52" s="16">
        <f t="shared" si="7"/>
        <v>7.943300000000001E-5</v>
      </c>
      <c r="P52" s="16">
        <f t="shared" si="7"/>
        <v>7.943300000000001E-5</v>
      </c>
      <c r="Q52" s="16">
        <f t="shared" si="7"/>
        <v>7.943300000000001E-5</v>
      </c>
      <c r="R52" s="16">
        <f t="shared" si="7"/>
        <v>7.943300000000001E-5</v>
      </c>
      <c r="S52" s="16">
        <f t="shared" si="6"/>
        <v>7.943300000000001E-5</v>
      </c>
      <c r="T52" s="16">
        <f t="shared" si="6"/>
        <v>7.943300000000001E-5</v>
      </c>
      <c r="U52" s="16">
        <f t="shared" si="6"/>
        <v>7.943300000000001E-5</v>
      </c>
      <c r="V52" s="16">
        <f t="shared" si="6"/>
        <v>7.943300000000001E-5</v>
      </c>
      <c r="W52" s="16">
        <f t="shared" si="6"/>
        <v>7.943300000000001E-5</v>
      </c>
      <c r="X52" s="16">
        <f t="shared" si="6"/>
        <v>7.943300000000001E-5</v>
      </c>
      <c r="Y52" s="16">
        <f t="shared" si="6"/>
        <v>7.943300000000001E-5</v>
      </c>
      <c r="Z52" s="16">
        <f t="shared" si="6"/>
        <v>7.943300000000001E-5</v>
      </c>
    </row>
    <row r="53" spans="3:26" x14ac:dyDescent="0.25">
      <c r="C53" s="16">
        <f t="shared" si="7"/>
        <v>7.943300000000001E-5</v>
      </c>
      <c r="D53" s="16">
        <f t="shared" si="7"/>
        <v>7.943300000000001E-5</v>
      </c>
      <c r="E53" s="16">
        <f t="shared" si="7"/>
        <v>7.943300000000001E-5</v>
      </c>
      <c r="F53" s="16">
        <f t="shared" si="7"/>
        <v>7.943300000000001E-5</v>
      </c>
      <c r="G53" s="16">
        <f t="shared" si="7"/>
        <v>7.943300000000001E-5</v>
      </c>
      <c r="H53" s="16">
        <f t="shared" si="7"/>
        <v>7.943300000000001E-5</v>
      </c>
      <c r="I53" s="16">
        <f t="shared" si="7"/>
        <v>7.943300000000001E-5</v>
      </c>
      <c r="J53" s="16">
        <f t="shared" si="7"/>
        <v>7.943300000000001E-5</v>
      </c>
      <c r="K53" s="16">
        <f t="shared" si="7"/>
        <v>7.943300000000001E-5</v>
      </c>
      <c r="L53" s="16">
        <f t="shared" si="7"/>
        <v>7.943300000000001E-5</v>
      </c>
      <c r="M53" s="16">
        <f t="shared" si="7"/>
        <v>7.943300000000001E-5</v>
      </c>
      <c r="N53" s="16">
        <f t="shared" si="7"/>
        <v>7.943300000000001E-5</v>
      </c>
      <c r="O53" s="16">
        <f t="shared" si="7"/>
        <v>7.943300000000001E-5</v>
      </c>
      <c r="P53" s="16">
        <f t="shared" si="7"/>
        <v>7.943300000000001E-5</v>
      </c>
      <c r="Q53" s="16">
        <f t="shared" si="7"/>
        <v>7.943300000000001E-5</v>
      </c>
      <c r="R53" s="16">
        <f t="shared" si="7"/>
        <v>7.943300000000001E-5</v>
      </c>
      <c r="S53" s="16">
        <f t="shared" si="6"/>
        <v>7.943300000000001E-5</v>
      </c>
      <c r="T53" s="16">
        <f t="shared" si="6"/>
        <v>7.943300000000001E-5</v>
      </c>
      <c r="U53" s="16">
        <f t="shared" si="6"/>
        <v>7.943300000000001E-5</v>
      </c>
      <c r="V53" s="16">
        <f t="shared" si="6"/>
        <v>7.943300000000001E-5</v>
      </c>
      <c r="W53" s="16">
        <f t="shared" si="6"/>
        <v>7.943300000000001E-5</v>
      </c>
      <c r="X53" s="16">
        <f t="shared" si="6"/>
        <v>7.943300000000001E-5</v>
      </c>
      <c r="Y53" s="16">
        <f t="shared" si="6"/>
        <v>7.943300000000001E-5</v>
      </c>
      <c r="Z53" s="16">
        <f t="shared" si="6"/>
        <v>7.943300000000001E-5</v>
      </c>
    </row>
    <row r="54" spans="3:26" x14ac:dyDescent="0.25">
      <c r="C54" s="16">
        <f t="shared" si="7"/>
        <v>7.943300000000001E-5</v>
      </c>
      <c r="D54" s="16">
        <f t="shared" si="7"/>
        <v>7.943300000000001E-5</v>
      </c>
      <c r="E54" s="16">
        <f t="shared" si="7"/>
        <v>7.943300000000001E-5</v>
      </c>
      <c r="F54" s="16">
        <f t="shared" si="7"/>
        <v>7.943300000000001E-5</v>
      </c>
      <c r="G54" s="16">
        <f t="shared" si="7"/>
        <v>7.943300000000001E-5</v>
      </c>
      <c r="H54" s="16">
        <f t="shared" si="7"/>
        <v>7.943300000000001E-5</v>
      </c>
      <c r="I54" s="16">
        <f t="shared" si="7"/>
        <v>7.943300000000001E-5</v>
      </c>
      <c r="J54" s="16">
        <f t="shared" si="7"/>
        <v>7.943300000000001E-5</v>
      </c>
      <c r="K54" s="16">
        <f t="shared" si="7"/>
        <v>7.943300000000001E-5</v>
      </c>
      <c r="L54" s="16">
        <f t="shared" si="7"/>
        <v>7.943300000000001E-5</v>
      </c>
      <c r="M54" s="16">
        <f t="shared" si="7"/>
        <v>7.943300000000001E-5</v>
      </c>
      <c r="N54" s="16">
        <f t="shared" si="7"/>
        <v>7.943300000000001E-5</v>
      </c>
      <c r="O54" s="16">
        <f t="shared" si="7"/>
        <v>7.943300000000001E-5</v>
      </c>
      <c r="P54" s="16">
        <f t="shared" si="7"/>
        <v>7.943300000000001E-5</v>
      </c>
      <c r="Q54" s="16">
        <f t="shared" si="7"/>
        <v>7.943300000000001E-5</v>
      </c>
      <c r="R54" s="16">
        <f t="shared" si="7"/>
        <v>7.943300000000001E-5</v>
      </c>
      <c r="S54" s="16">
        <f t="shared" si="6"/>
        <v>7.943300000000001E-5</v>
      </c>
      <c r="T54" s="16">
        <f t="shared" si="6"/>
        <v>7.943300000000001E-5</v>
      </c>
      <c r="U54" s="16">
        <f t="shared" si="6"/>
        <v>7.943300000000001E-5</v>
      </c>
      <c r="V54" s="16">
        <f t="shared" si="6"/>
        <v>7.943300000000001E-5</v>
      </c>
      <c r="W54" s="16">
        <f t="shared" si="6"/>
        <v>7.943300000000001E-5</v>
      </c>
      <c r="X54" s="16">
        <f t="shared" si="6"/>
        <v>7.943300000000001E-5</v>
      </c>
      <c r="Y54" s="16">
        <f t="shared" si="6"/>
        <v>7.943300000000001E-5</v>
      </c>
      <c r="Z54" s="16">
        <f t="shared" si="6"/>
        <v>7.943300000000001E-5</v>
      </c>
    </row>
    <row r="55" spans="3:26" x14ac:dyDescent="0.25">
      <c r="C55" s="16">
        <f t="shared" si="7"/>
        <v>7.943300000000001E-5</v>
      </c>
      <c r="D55" s="16">
        <f t="shared" si="7"/>
        <v>7.943300000000001E-5</v>
      </c>
      <c r="E55" s="16">
        <f t="shared" si="7"/>
        <v>7.943300000000001E-5</v>
      </c>
      <c r="F55" s="16">
        <f t="shared" si="7"/>
        <v>7.943300000000001E-5</v>
      </c>
      <c r="G55" s="16">
        <f t="shared" si="7"/>
        <v>7.943300000000001E-5</v>
      </c>
      <c r="H55" s="16">
        <f t="shared" si="7"/>
        <v>7.943300000000001E-5</v>
      </c>
      <c r="I55" s="16">
        <f t="shared" si="7"/>
        <v>7.943300000000001E-5</v>
      </c>
      <c r="J55" s="16">
        <f t="shared" si="7"/>
        <v>7.943300000000001E-5</v>
      </c>
      <c r="K55" s="16">
        <f t="shared" si="7"/>
        <v>7.943300000000001E-5</v>
      </c>
      <c r="L55" s="16">
        <f t="shared" si="7"/>
        <v>7.943300000000001E-5</v>
      </c>
      <c r="M55" s="16">
        <f t="shared" si="7"/>
        <v>7.943300000000001E-5</v>
      </c>
      <c r="N55" s="16">
        <f t="shared" si="7"/>
        <v>7.943300000000001E-5</v>
      </c>
      <c r="O55" s="16">
        <f t="shared" si="7"/>
        <v>7.943300000000001E-5</v>
      </c>
      <c r="P55" s="16">
        <f t="shared" si="7"/>
        <v>7.943300000000001E-5</v>
      </c>
      <c r="Q55" s="16">
        <f t="shared" si="7"/>
        <v>7.943300000000001E-5</v>
      </c>
      <c r="R55" s="16">
        <f t="shared" si="7"/>
        <v>7.943300000000001E-5</v>
      </c>
      <c r="S55" s="16">
        <f t="shared" si="6"/>
        <v>7.943300000000001E-5</v>
      </c>
      <c r="T55" s="16">
        <f t="shared" si="6"/>
        <v>7.943300000000001E-5</v>
      </c>
      <c r="U55" s="16">
        <f t="shared" si="6"/>
        <v>7.943300000000001E-5</v>
      </c>
      <c r="V55" s="16">
        <f t="shared" si="6"/>
        <v>7.943300000000001E-5</v>
      </c>
      <c r="W55" s="16">
        <f t="shared" si="6"/>
        <v>7.943300000000001E-5</v>
      </c>
      <c r="X55" s="16">
        <f t="shared" si="6"/>
        <v>7.943300000000001E-5</v>
      </c>
      <c r="Y55" s="16">
        <f t="shared" si="6"/>
        <v>7.943300000000001E-5</v>
      </c>
      <c r="Z55" s="16">
        <f t="shared" si="6"/>
        <v>7.943300000000001E-5</v>
      </c>
    </row>
    <row r="56" spans="3:26" x14ac:dyDescent="0.25">
      <c r="C56" s="16">
        <f t="shared" si="7"/>
        <v>7.943300000000001E-5</v>
      </c>
      <c r="D56" s="16">
        <f t="shared" si="7"/>
        <v>7.943300000000001E-5</v>
      </c>
      <c r="E56" s="16">
        <f t="shared" si="7"/>
        <v>7.943300000000001E-5</v>
      </c>
      <c r="F56" s="16">
        <f t="shared" si="7"/>
        <v>7.943300000000001E-5</v>
      </c>
      <c r="G56" s="16">
        <f t="shared" si="7"/>
        <v>7.943300000000001E-5</v>
      </c>
      <c r="H56" s="16">
        <f t="shared" si="7"/>
        <v>7.943300000000001E-5</v>
      </c>
      <c r="I56" s="16">
        <f t="shared" si="7"/>
        <v>7.943300000000001E-5</v>
      </c>
      <c r="J56" s="16">
        <f t="shared" si="7"/>
        <v>7.943300000000001E-5</v>
      </c>
      <c r="K56" s="16">
        <f t="shared" si="7"/>
        <v>7.943300000000001E-5</v>
      </c>
      <c r="L56" s="16">
        <f t="shared" si="7"/>
        <v>7.943300000000001E-5</v>
      </c>
      <c r="M56" s="16">
        <f t="shared" si="7"/>
        <v>7.943300000000001E-5</v>
      </c>
      <c r="N56" s="16">
        <f t="shared" si="7"/>
        <v>7.943300000000001E-5</v>
      </c>
      <c r="O56" s="16">
        <f t="shared" si="7"/>
        <v>7.943300000000001E-5</v>
      </c>
      <c r="P56" s="16">
        <f t="shared" si="7"/>
        <v>7.943300000000001E-5</v>
      </c>
      <c r="Q56" s="16">
        <f t="shared" si="7"/>
        <v>7.943300000000001E-5</v>
      </c>
      <c r="R56" s="16">
        <f t="shared" si="7"/>
        <v>7.943300000000001E-5</v>
      </c>
      <c r="S56" s="16">
        <f t="shared" si="6"/>
        <v>7.943300000000001E-5</v>
      </c>
      <c r="T56" s="16">
        <f t="shared" si="6"/>
        <v>7.943300000000001E-5</v>
      </c>
      <c r="U56" s="16">
        <f t="shared" si="6"/>
        <v>7.943300000000001E-5</v>
      </c>
      <c r="V56" s="16">
        <f t="shared" si="6"/>
        <v>7.943300000000001E-5</v>
      </c>
      <c r="W56" s="16">
        <f t="shared" si="6"/>
        <v>7.943300000000001E-5</v>
      </c>
      <c r="X56" s="16">
        <f t="shared" si="6"/>
        <v>7.943300000000001E-5</v>
      </c>
      <c r="Y56" s="16">
        <f t="shared" si="6"/>
        <v>7.943300000000001E-5</v>
      </c>
      <c r="Z56" s="16">
        <f t="shared" si="6"/>
        <v>7.943300000000001E-5</v>
      </c>
    </row>
    <row r="57" spans="3:26" x14ac:dyDescent="0.25">
      <c r="C57" s="16">
        <f t="shared" si="7"/>
        <v>7.943300000000001E-5</v>
      </c>
      <c r="D57" s="16">
        <f t="shared" si="7"/>
        <v>7.943300000000001E-5</v>
      </c>
      <c r="E57" s="16">
        <f t="shared" si="7"/>
        <v>7.943300000000001E-5</v>
      </c>
      <c r="F57" s="16">
        <f t="shared" si="7"/>
        <v>7.943300000000001E-5</v>
      </c>
      <c r="G57" s="16">
        <f t="shared" si="7"/>
        <v>7.943300000000001E-5</v>
      </c>
      <c r="H57" s="16">
        <f t="shared" si="7"/>
        <v>7.943300000000001E-5</v>
      </c>
      <c r="I57" s="16">
        <f t="shared" si="7"/>
        <v>7.943300000000001E-5</v>
      </c>
      <c r="J57" s="16">
        <f t="shared" si="7"/>
        <v>7.943300000000001E-5</v>
      </c>
      <c r="K57" s="16">
        <f t="shared" si="7"/>
        <v>7.943300000000001E-5</v>
      </c>
      <c r="L57" s="16">
        <f t="shared" si="7"/>
        <v>7.943300000000001E-5</v>
      </c>
      <c r="M57" s="16">
        <f t="shared" si="7"/>
        <v>7.943300000000001E-5</v>
      </c>
      <c r="N57" s="16">
        <f t="shared" si="7"/>
        <v>7.943300000000001E-5</v>
      </c>
      <c r="O57" s="16">
        <f t="shared" si="7"/>
        <v>7.943300000000001E-5</v>
      </c>
      <c r="P57" s="16">
        <f t="shared" si="7"/>
        <v>7.943300000000001E-5</v>
      </c>
      <c r="Q57" s="16">
        <f t="shared" si="7"/>
        <v>7.943300000000001E-5</v>
      </c>
      <c r="R57" s="16">
        <f t="shared" si="7"/>
        <v>7.943300000000001E-5</v>
      </c>
      <c r="S57" s="16">
        <f t="shared" si="6"/>
        <v>7.943300000000001E-5</v>
      </c>
      <c r="T57" s="16">
        <f t="shared" si="6"/>
        <v>7.943300000000001E-5</v>
      </c>
      <c r="U57" s="16">
        <f t="shared" si="6"/>
        <v>7.943300000000001E-5</v>
      </c>
      <c r="V57" s="16">
        <f t="shared" si="6"/>
        <v>7.943300000000001E-5</v>
      </c>
      <c r="W57" s="16">
        <f t="shared" si="6"/>
        <v>7.943300000000001E-5</v>
      </c>
      <c r="X57" s="16">
        <f t="shared" si="6"/>
        <v>7.943300000000001E-5</v>
      </c>
      <c r="Y57" s="16">
        <f t="shared" si="6"/>
        <v>7.943300000000001E-5</v>
      </c>
      <c r="Z57" s="16">
        <f t="shared" si="6"/>
        <v>7.943300000000001E-5</v>
      </c>
    </row>
    <row r="58" spans="3:26" x14ac:dyDescent="0.25">
      <c r="C58" s="16">
        <f t="shared" si="7"/>
        <v>7.943300000000001E-5</v>
      </c>
      <c r="D58" s="16">
        <f t="shared" si="7"/>
        <v>7.943300000000001E-5</v>
      </c>
      <c r="E58" s="16">
        <f t="shared" si="7"/>
        <v>7.943300000000001E-5</v>
      </c>
      <c r="F58" s="16">
        <f t="shared" si="7"/>
        <v>7.943300000000001E-5</v>
      </c>
      <c r="G58" s="16">
        <f t="shared" si="7"/>
        <v>7.943300000000001E-5</v>
      </c>
      <c r="H58" s="16">
        <f t="shared" si="7"/>
        <v>7.943300000000001E-5</v>
      </c>
      <c r="I58" s="16">
        <f t="shared" si="7"/>
        <v>7.943300000000001E-5</v>
      </c>
      <c r="J58" s="16">
        <f t="shared" si="7"/>
        <v>7.943300000000001E-5</v>
      </c>
      <c r="K58" s="16">
        <f t="shared" si="7"/>
        <v>7.943300000000001E-5</v>
      </c>
      <c r="L58" s="16">
        <f t="shared" si="7"/>
        <v>7.943300000000001E-5</v>
      </c>
      <c r="M58" s="16">
        <f t="shared" si="7"/>
        <v>7.943300000000001E-5</v>
      </c>
      <c r="N58" s="16">
        <f t="shared" si="7"/>
        <v>7.943300000000001E-5</v>
      </c>
      <c r="O58" s="16">
        <f t="shared" si="7"/>
        <v>7.943300000000001E-5</v>
      </c>
      <c r="P58" s="16">
        <f t="shared" si="7"/>
        <v>7.943300000000001E-5</v>
      </c>
      <c r="Q58" s="16">
        <f t="shared" si="7"/>
        <v>7.943300000000001E-5</v>
      </c>
      <c r="R58" s="16">
        <f t="shared" si="7"/>
        <v>7.943300000000001E-5</v>
      </c>
      <c r="S58" s="16">
        <f t="shared" si="6"/>
        <v>7.943300000000001E-5</v>
      </c>
      <c r="T58" s="16">
        <f t="shared" si="6"/>
        <v>7.943300000000001E-5</v>
      </c>
      <c r="U58" s="16">
        <f t="shared" si="6"/>
        <v>7.943300000000001E-5</v>
      </c>
      <c r="V58" s="16">
        <f t="shared" si="6"/>
        <v>7.943300000000001E-5</v>
      </c>
      <c r="W58" s="16">
        <f t="shared" si="6"/>
        <v>7.943300000000001E-5</v>
      </c>
      <c r="X58" s="16">
        <f t="shared" si="6"/>
        <v>7.943300000000001E-5</v>
      </c>
      <c r="Y58" s="16">
        <f t="shared" si="6"/>
        <v>7.943300000000001E-5</v>
      </c>
      <c r="Z58" s="16">
        <f t="shared" si="6"/>
        <v>7.943300000000001E-5</v>
      </c>
    </row>
    <row r="59" spans="3:26" x14ac:dyDescent="0.25">
      <c r="C59" s="16">
        <f t="shared" si="7"/>
        <v>7.943300000000001E-5</v>
      </c>
      <c r="D59" s="16">
        <f t="shared" si="7"/>
        <v>7.943300000000001E-5</v>
      </c>
      <c r="E59" s="16">
        <f t="shared" si="7"/>
        <v>7.943300000000001E-5</v>
      </c>
      <c r="F59" s="16">
        <f t="shared" si="7"/>
        <v>7.943300000000001E-5</v>
      </c>
      <c r="G59" s="16">
        <f t="shared" si="7"/>
        <v>7.943300000000001E-5</v>
      </c>
      <c r="H59" s="16">
        <f t="shared" si="7"/>
        <v>7.943300000000001E-5</v>
      </c>
      <c r="I59" s="16">
        <f t="shared" si="7"/>
        <v>7.943300000000001E-5</v>
      </c>
      <c r="J59" s="16">
        <f t="shared" si="7"/>
        <v>7.943300000000001E-5</v>
      </c>
      <c r="K59" s="16">
        <f t="shared" si="7"/>
        <v>7.943300000000001E-5</v>
      </c>
      <c r="L59" s="16">
        <f t="shared" si="7"/>
        <v>7.943300000000001E-5</v>
      </c>
      <c r="M59" s="16">
        <f t="shared" si="7"/>
        <v>7.943300000000001E-5</v>
      </c>
      <c r="N59" s="16">
        <f t="shared" si="7"/>
        <v>7.943300000000001E-5</v>
      </c>
      <c r="O59" s="16">
        <f t="shared" si="7"/>
        <v>7.943300000000001E-5</v>
      </c>
      <c r="P59" s="16">
        <f t="shared" si="7"/>
        <v>7.943300000000001E-5</v>
      </c>
      <c r="Q59" s="16">
        <f t="shared" si="7"/>
        <v>7.943300000000001E-5</v>
      </c>
      <c r="R59" s="16">
        <f t="shared" si="7"/>
        <v>7.943300000000001E-5</v>
      </c>
      <c r="S59" s="16">
        <f t="shared" si="6"/>
        <v>7.943300000000001E-5</v>
      </c>
      <c r="T59" s="16">
        <f t="shared" si="6"/>
        <v>7.943300000000001E-5</v>
      </c>
      <c r="U59" s="16">
        <f t="shared" si="6"/>
        <v>7.943300000000001E-5</v>
      </c>
      <c r="V59" s="16">
        <f t="shared" si="6"/>
        <v>7.943300000000001E-5</v>
      </c>
      <c r="W59" s="16">
        <f t="shared" si="6"/>
        <v>7.943300000000001E-5</v>
      </c>
      <c r="X59" s="16">
        <f t="shared" si="6"/>
        <v>7.943300000000001E-5</v>
      </c>
      <c r="Y59" s="16">
        <f t="shared" si="6"/>
        <v>7.943300000000001E-5</v>
      </c>
      <c r="Z59" s="16">
        <f t="shared" si="6"/>
        <v>7.943300000000001E-5</v>
      </c>
    </row>
    <row r="60" spans="3:26" x14ac:dyDescent="0.25">
      <c r="C60" s="16">
        <f t="shared" si="7"/>
        <v>7.943300000000001E-5</v>
      </c>
      <c r="D60" s="16">
        <f t="shared" si="7"/>
        <v>7.943300000000001E-5</v>
      </c>
      <c r="E60" s="16">
        <f t="shared" si="7"/>
        <v>7.943300000000001E-5</v>
      </c>
      <c r="F60" s="16">
        <f t="shared" si="7"/>
        <v>7.943300000000001E-5</v>
      </c>
      <c r="G60" s="16">
        <f t="shared" si="7"/>
        <v>7.943300000000001E-5</v>
      </c>
      <c r="H60" s="16">
        <f t="shared" si="7"/>
        <v>7.943300000000001E-5</v>
      </c>
      <c r="I60" s="16">
        <f t="shared" si="7"/>
        <v>7.943300000000001E-5</v>
      </c>
      <c r="J60" s="16">
        <f t="shared" si="7"/>
        <v>7.943300000000001E-5</v>
      </c>
      <c r="K60" s="16">
        <f t="shared" si="7"/>
        <v>7.943300000000001E-5</v>
      </c>
      <c r="L60" s="16">
        <f t="shared" si="7"/>
        <v>7.943300000000001E-5</v>
      </c>
      <c r="M60" s="16">
        <f t="shared" si="7"/>
        <v>7.943300000000001E-5</v>
      </c>
      <c r="N60" s="16">
        <f t="shared" si="7"/>
        <v>7.943300000000001E-5</v>
      </c>
      <c r="O60" s="16">
        <f t="shared" si="7"/>
        <v>7.943300000000001E-5</v>
      </c>
      <c r="P60" s="16">
        <f t="shared" si="7"/>
        <v>7.943300000000001E-5</v>
      </c>
      <c r="Q60" s="16">
        <f t="shared" si="7"/>
        <v>7.943300000000001E-5</v>
      </c>
      <c r="R60" s="16">
        <f t="shared" si="7"/>
        <v>7.943300000000001E-5</v>
      </c>
      <c r="S60" s="16">
        <f t="shared" si="6"/>
        <v>7.943300000000001E-5</v>
      </c>
      <c r="T60" s="16">
        <f t="shared" si="6"/>
        <v>7.943300000000001E-5</v>
      </c>
      <c r="U60" s="16">
        <f t="shared" si="6"/>
        <v>7.943300000000001E-5</v>
      </c>
      <c r="V60" s="16">
        <f t="shared" si="6"/>
        <v>7.943300000000001E-5</v>
      </c>
      <c r="W60" s="16">
        <f t="shared" si="6"/>
        <v>7.943300000000001E-5</v>
      </c>
      <c r="X60" s="16">
        <f t="shared" si="6"/>
        <v>7.943300000000001E-5</v>
      </c>
      <c r="Y60" s="16">
        <f t="shared" si="6"/>
        <v>7.943300000000001E-5</v>
      </c>
      <c r="Z60" s="16">
        <f t="shared" si="6"/>
        <v>7.943300000000001E-5</v>
      </c>
    </row>
    <row r="61" spans="3:26" x14ac:dyDescent="0.25">
      <c r="C61" s="16">
        <f t="shared" si="7"/>
        <v>7.943300000000001E-5</v>
      </c>
      <c r="D61" s="16">
        <f t="shared" si="7"/>
        <v>7.943300000000001E-5</v>
      </c>
      <c r="E61" s="16">
        <f t="shared" si="7"/>
        <v>7.943300000000001E-5</v>
      </c>
      <c r="F61" s="16">
        <f t="shared" si="7"/>
        <v>7.943300000000001E-5</v>
      </c>
      <c r="G61" s="16">
        <f t="shared" si="7"/>
        <v>7.943300000000001E-5</v>
      </c>
      <c r="H61" s="16">
        <f t="shared" si="7"/>
        <v>7.943300000000001E-5</v>
      </c>
      <c r="I61" s="16">
        <f t="shared" si="7"/>
        <v>7.943300000000001E-5</v>
      </c>
      <c r="J61" s="16">
        <f t="shared" si="7"/>
        <v>7.943300000000001E-5</v>
      </c>
      <c r="K61" s="16">
        <f t="shared" si="7"/>
        <v>7.943300000000001E-5</v>
      </c>
      <c r="L61" s="16">
        <f t="shared" si="7"/>
        <v>7.943300000000001E-5</v>
      </c>
      <c r="M61" s="16">
        <f t="shared" si="7"/>
        <v>7.943300000000001E-5</v>
      </c>
      <c r="N61" s="16">
        <f t="shared" si="7"/>
        <v>7.943300000000001E-5</v>
      </c>
      <c r="O61" s="16">
        <f t="shared" si="7"/>
        <v>7.943300000000001E-5</v>
      </c>
      <c r="P61" s="16">
        <f t="shared" si="7"/>
        <v>7.943300000000001E-5</v>
      </c>
      <c r="Q61" s="16">
        <f t="shared" si="7"/>
        <v>7.943300000000001E-5</v>
      </c>
      <c r="R61" s="16">
        <f t="shared" si="7"/>
        <v>7.943300000000001E-5</v>
      </c>
      <c r="S61" s="16">
        <f t="shared" si="6"/>
        <v>7.943300000000001E-5</v>
      </c>
      <c r="T61" s="16">
        <f t="shared" si="6"/>
        <v>7.943300000000001E-5</v>
      </c>
      <c r="U61" s="16">
        <f t="shared" si="6"/>
        <v>7.943300000000001E-5</v>
      </c>
      <c r="V61" s="16">
        <f t="shared" si="6"/>
        <v>7.943300000000001E-5</v>
      </c>
      <c r="W61" s="16">
        <f t="shared" si="6"/>
        <v>7.943300000000001E-5</v>
      </c>
      <c r="X61" s="16">
        <f t="shared" si="6"/>
        <v>7.943300000000001E-5</v>
      </c>
      <c r="Y61" s="16">
        <f t="shared" si="6"/>
        <v>7.943300000000001E-5</v>
      </c>
      <c r="Z61" s="16">
        <f t="shared" si="6"/>
        <v>7.943300000000001E-5</v>
      </c>
    </row>
    <row r="62" spans="3:26" x14ac:dyDescent="0.25">
      <c r="C62" s="16">
        <f t="shared" si="7"/>
        <v>7.943300000000001E-5</v>
      </c>
      <c r="D62" s="16">
        <f t="shared" si="7"/>
        <v>7.943300000000001E-5</v>
      </c>
      <c r="E62" s="16">
        <f t="shared" si="7"/>
        <v>7.943300000000001E-5</v>
      </c>
      <c r="F62" s="16">
        <f t="shared" si="7"/>
        <v>7.943300000000001E-5</v>
      </c>
      <c r="G62" s="16">
        <f t="shared" si="7"/>
        <v>7.943300000000001E-5</v>
      </c>
      <c r="H62" s="16">
        <f t="shared" si="7"/>
        <v>7.943300000000001E-5</v>
      </c>
      <c r="I62" s="16">
        <f t="shared" si="7"/>
        <v>7.943300000000001E-5</v>
      </c>
      <c r="J62" s="16">
        <f t="shared" si="7"/>
        <v>7.943300000000001E-5</v>
      </c>
      <c r="K62" s="16">
        <f t="shared" si="7"/>
        <v>7.943300000000001E-5</v>
      </c>
      <c r="L62" s="16">
        <f t="shared" si="7"/>
        <v>7.943300000000001E-5</v>
      </c>
      <c r="M62" s="16">
        <f t="shared" si="7"/>
        <v>7.943300000000001E-5</v>
      </c>
      <c r="N62" s="16">
        <f t="shared" si="7"/>
        <v>7.943300000000001E-5</v>
      </c>
      <c r="O62" s="16">
        <f t="shared" si="7"/>
        <v>7.943300000000001E-5</v>
      </c>
      <c r="P62" s="16">
        <f t="shared" si="7"/>
        <v>7.943300000000001E-5</v>
      </c>
      <c r="Q62" s="16">
        <f t="shared" si="7"/>
        <v>7.943300000000001E-5</v>
      </c>
      <c r="R62" s="16">
        <f t="shared" si="7"/>
        <v>7.943300000000001E-5</v>
      </c>
      <c r="S62" s="16">
        <f t="shared" si="6"/>
        <v>7.943300000000001E-5</v>
      </c>
      <c r="T62" s="16">
        <f t="shared" si="6"/>
        <v>7.943300000000001E-5</v>
      </c>
      <c r="U62" s="16">
        <f t="shared" si="6"/>
        <v>7.943300000000001E-5</v>
      </c>
      <c r="V62" s="16">
        <f t="shared" si="6"/>
        <v>7.943300000000001E-5</v>
      </c>
      <c r="W62" s="16">
        <f t="shared" si="6"/>
        <v>7.943300000000001E-5</v>
      </c>
      <c r="X62" s="16">
        <f t="shared" si="6"/>
        <v>7.943300000000001E-5</v>
      </c>
      <c r="Y62" s="16">
        <f t="shared" si="6"/>
        <v>7.943300000000001E-5</v>
      </c>
      <c r="Z62" s="16">
        <f t="shared" si="6"/>
        <v>7.943300000000001E-5</v>
      </c>
    </row>
    <row r="63" spans="3:26" x14ac:dyDescent="0.25">
      <c r="C63" s="16">
        <f t="shared" si="7"/>
        <v>7.943300000000001E-5</v>
      </c>
      <c r="D63" s="16">
        <f t="shared" si="7"/>
        <v>7.943300000000001E-5</v>
      </c>
      <c r="E63" s="16">
        <f t="shared" si="7"/>
        <v>7.943300000000001E-5</v>
      </c>
      <c r="F63" s="16">
        <f t="shared" si="7"/>
        <v>7.943300000000001E-5</v>
      </c>
      <c r="G63" s="16">
        <f t="shared" si="7"/>
        <v>7.943300000000001E-5</v>
      </c>
      <c r="H63" s="16">
        <f t="shared" si="7"/>
        <v>7.943300000000001E-5</v>
      </c>
      <c r="I63" s="16">
        <f t="shared" si="7"/>
        <v>7.943300000000001E-5</v>
      </c>
      <c r="J63" s="16">
        <f t="shared" si="7"/>
        <v>7.943300000000001E-5</v>
      </c>
      <c r="K63" s="16">
        <f t="shared" si="7"/>
        <v>7.943300000000001E-5</v>
      </c>
      <c r="L63" s="16">
        <f t="shared" si="7"/>
        <v>7.943300000000001E-5</v>
      </c>
      <c r="M63" s="16">
        <f t="shared" si="7"/>
        <v>7.943300000000001E-5</v>
      </c>
      <c r="N63" s="16">
        <f t="shared" si="7"/>
        <v>7.943300000000001E-5</v>
      </c>
      <c r="O63" s="16">
        <f t="shared" si="7"/>
        <v>7.943300000000001E-5</v>
      </c>
      <c r="P63" s="16">
        <f t="shared" si="7"/>
        <v>7.943300000000001E-5</v>
      </c>
      <c r="Q63" s="16">
        <f t="shared" si="7"/>
        <v>7.943300000000001E-5</v>
      </c>
      <c r="R63" s="16">
        <f t="shared" si="7"/>
        <v>7.943300000000001E-5</v>
      </c>
      <c r="S63" s="16">
        <f t="shared" si="6"/>
        <v>7.943300000000001E-5</v>
      </c>
      <c r="T63" s="16">
        <f t="shared" si="6"/>
        <v>7.943300000000001E-5</v>
      </c>
      <c r="U63" s="16">
        <f t="shared" si="6"/>
        <v>7.943300000000001E-5</v>
      </c>
      <c r="V63" s="16">
        <f t="shared" si="6"/>
        <v>7.943300000000001E-5</v>
      </c>
      <c r="W63" s="16">
        <f t="shared" si="6"/>
        <v>7.943300000000001E-5</v>
      </c>
      <c r="X63" s="16">
        <f t="shared" si="6"/>
        <v>7.943300000000001E-5</v>
      </c>
      <c r="Y63" s="16">
        <f t="shared" si="6"/>
        <v>7.943300000000001E-5</v>
      </c>
      <c r="Z63" s="16">
        <f t="shared" si="6"/>
        <v>7.943300000000001E-5</v>
      </c>
    </row>
    <row r="64" spans="3:26" x14ac:dyDescent="0.25">
      <c r="C64" s="16">
        <f>10000*$B$9</f>
        <v>0.79433000000000009</v>
      </c>
      <c r="D64" s="16">
        <f t="shared" ref="D64:Z64" si="8">10000*$B$9</f>
        <v>0.79433000000000009</v>
      </c>
      <c r="E64" s="16">
        <f t="shared" si="8"/>
        <v>0.79433000000000009</v>
      </c>
      <c r="F64" s="16">
        <f t="shared" si="8"/>
        <v>0.79433000000000009</v>
      </c>
      <c r="G64" s="16">
        <f t="shared" si="8"/>
        <v>0.79433000000000009</v>
      </c>
      <c r="H64" s="16">
        <f t="shared" si="8"/>
        <v>0.79433000000000009</v>
      </c>
      <c r="I64" s="16">
        <f t="shared" si="8"/>
        <v>0.79433000000000009</v>
      </c>
      <c r="J64" s="16">
        <f t="shared" si="8"/>
        <v>0.79433000000000009</v>
      </c>
      <c r="K64" s="16">
        <f t="shared" si="8"/>
        <v>0.79433000000000009</v>
      </c>
      <c r="L64" s="16">
        <f t="shared" si="8"/>
        <v>0.79433000000000009</v>
      </c>
      <c r="M64" s="16">
        <f t="shared" si="8"/>
        <v>0.79433000000000009</v>
      </c>
      <c r="N64" s="16">
        <f t="shared" si="8"/>
        <v>0.79433000000000009</v>
      </c>
      <c r="O64" s="16">
        <f t="shared" si="8"/>
        <v>0.79433000000000009</v>
      </c>
      <c r="P64" s="16">
        <f t="shared" si="8"/>
        <v>0.79433000000000009</v>
      </c>
      <c r="Q64" s="16">
        <f t="shared" si="8"/>
        <v>0.79433000000000009</v>
      </c>
      <c r="R64" s="16">
        <f t="shared" si="8"/>
        <v>0.79433000000000009</v>
      </c>
      <c r="S64" s="16">
        <f t="shared" si="8"/>
        <v>0.79433000000000009</v>
      </c>
      <c r="T64" s="16">
        <f t="shared" si="8"/>
        <v>0.79433000000000009</v>
      </c>
      <c r="U64" s="16">
        <f t="shared" si="8"/>
        <v>0.79433000000000009</v>
      </c>
      <c r="V64" s="16">
        <f t="shared" si="8"/>
        <v>0.79433000000000009</v>
      </c>
      <c r="W64" s="16">
        <f t="shared" si="8"/>
        <v>0.79433000000000009</v>
      </c>
      <c r="X64" s="16">
        <f t="shared" si="8"/>
        <v>0.79433000000000009</v>
      </c>
      <c r="Y64" s="16">
        <f t="shared" si="8"/>
        <v>0.79433000000000009</v>
      </c>
      <c r="Z64" s="16">
        <f t="shared" si="8"/>
        <v>0.79433000000000009</v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9EA3B-BAB5-4D86-9191-5E9891C7B124}">
  <sheetPr codeName="Sheet6"/>
  <dimension ref="A1:CFK64"/>
  <sheetViews>
    <sheetView topLeftCell="A44" zoomScaleNormal="100" workbookViewId="0">
      <selection activeCell="C65" sqref="C65:Z65"/>
    </sheetView>
  </sheetViews>
  <sheetFormatPr defaultColWidth="11.7109375" defaultRowHeight="15.75" x14ac:dyDescent="0.25"/>
  <cols>
    <col min="1" max="1" width="3" style="1" customWidth="1"/>
    <col min="2" max="2" width="13.7109375" style="2" customWidth="1"/>
    <col min="3" max="3" width="25.28515625" style="3" customWidth="1"/>
    <col min="4" max="4" width="17.7109375" style="3" customWidth="1"/>
    <col min="5" max="5" width="19.7109375" style="3" customWidth="1"/>
    <col min="6" max="16384" width="11.7109375" style="3"/>
  </cols>
  <sheetData>
    <row r="1" spans="1:2195" s="1" customFormat="1" x14ac:dyDescent="0.25"/>
    <row r="2" spans="1:2195" s="2" customFormat="1" ht="32.450000000000003" customHeight="1" x14ac:dyDescent="0.25">
      <c r="A2" s="1"/>
      <c r="B2" s="52" t="s">
        <v>24</v>
      </c>
      <c r="C2" s="52"/>
      <c r="D2" s="52"/>
      <c r="E2" s="14"/>
      <c r="F2" s="14"/>
    </row>
    <row r="3" spans="1:2195" s="2" customFormat="1" ht="32.450000000000003" customHeight="1" x14ac:dyDescent="0.25">
      <c r="A3" s="1"/>
      <c r="B3" s="15" t="s">
        <v>21</v>
      </c>
      <c r="C3" s="18" t="s">
        <v>35</v>
      </c>
      <c r="D3" s="5"/>
      <c r="E3" s="14"/>
      <c r="F3" s="14"/>
    </row>
    <row r="4" spans="1:2195" s="2" customFormat="1" ht="13.9" customHeight="1" x14ac:dyDescent="0.25">
      <c r="A4" s="1"/>
      <c r="B4" s="5"/>
      <c r="C4" s="17" t="s">
        <v>20</v>
      </c>
      <c r="D4" s="5"/>
      <c r="E4" s="14"/>
      <c r="F4" s="14"/>
    </row>
    <row r="5" spans="1:2195" x14ac:dyDescent="0.25">
      <c r="B5" s="17" t="s">
        <v>19</v>
      </c>
      <c r="C5" s="16">
        <v>9.9598903659999998</v>
      </c>
      <c r="D5" s="16">
        <v>9.9500865940000001</v>
      </c>
      <c r="E5" s="16">
        <v>9.9408426280000004</v>
      </c>
      <c r="F5" s="16">
        <v>9.9387626650000005</v>
      </c>
      <c r="G5" s="16">
        <v>9.9397134779999998</v>
      </c>
      <c r="H5" s="16">
        <v>9.9395389559999998</v>
      </c>
      <c r="I5" s="16">
        <v>9.9397773740000002</v>
      </c>
      <c r="J5" s="16">
        <v>9.9394617079999996</v>
      </c>
      <c r="K5" s="16">
        <v>9.9396333689999992</v>
      </c>
      <c r="L5" s="16">
        <v>9.9393453600000008</v>
      </c>
      <c r="M5" s="16">
        <v>9.9395313260000009</v>
      </c>
      <c r="N5" s="16">
        <v>9.9393100739999998</v>
      </c>
      <c r="O5" s="16">
        <v>9.9395265580000007</v>
      </c>
      <c r="P5" s="16">
        <v>9.9393301009999995</v>
      </c>
      <c r="Q5" s="16">
        <v>9.9396009450000005</v>
      </c>
      <c r="R5" s="16">
        <v>9.9394302369999998</v>
      </c>
      <c r="S5" s="16">
        <v>9.9397096630000004</v>
      </c>
      <c r="T5" s="16">
        <v>9.9395627980000008</v>
      </c>
      <c r="U5" s="16">
        <v>9.9397344590000003</v>
      </c>
      <c r="V5" s="16">
        <v>9.9393968580000003</v>
      </c>
      <c r="W5" s="16">
        <v>9.9389610289999997</v>
      </c>
      <c r="X5" s="16">
        <v>9.9403219220000008</v>
      </c>
      <c r="Y5" s="16">
        <v>9.9514799119999999</v>
      </c>
      <c r="Z5" s="16">
        <v>9.9590034480000007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</row>
    <row r="6" spans="1:2195" x14ac:dyDescent="0.25">
      <c r="C6" s="3">
        <v>9.8861417770000006</v>
      </c>
      <c r="D6" s="3">
        <v>9.8542108539999997</v>
      </c>
      <c r="E6" s="3">
        <v>9.8333387370000001</v>
      </c>
      <c r="F6" s="3">
        <v>9.8322210309999996</v>
      </c>
      <c r="G6" s="3">
        <v>9.8333053590000006</v>
      </c>
      <c r="H6" s="3">
        <v>9.8336019520000004</v>
      </c>
      <c r="I6" s="3">
        <v>9.8334045410000002</v>
      </c>
      <c r="J6" s="3">
        <v>9.8335495000000002</v>
      </c>
      <c r="K6" s="3">
        <v>9.8332881929999996</v>
      </c>
      <c r="L6" s="3">
        <v>9.8334264759999996</v>
      </c>
      <c r="M6" s="3">
        <v>9.8332309720000008</v>
      </c>
      <c r="N6" s="3">
        <v>9.8333873749999992</v>
      </c>
      <c r="O6" s="3">
        <v>9.8332338329999995</v>
      </c>
      <c r="P6" s="3">
        <v>9.8333959580000005</v>
      </c>
      <c r="Q6" s="3">
        <v>9.8332900999999993</v>
      </c>
      <c r="R6" s="3">
        <v>9.8334712979999992</v>
      </c>
      <c r="S6" s="3">
        <v>9.8333978650000002</v>
      </c>
      <c r="T6" s="3">
        <v>9.8335800169999992</v>
      </c>
      <c r="U6" s="3">
        <v>9.8333444599999993</v>
      </c>
      <c r="V6" s="3">
        <v>9.8333206180000001</v>
      </c>
      <c r="W6" s="3">
        <v>9.8323392869999999</v>
      </c>
      <c r="X6" s="3">
        <v>9.8331899640000007</v>
      </c>
      <c r="Y6" s="3">
        <v>9.8569068909999995</v>
      </c>
      <c r="Z6" s="3">
        <v>9.8919258120000002</v>
      </c>
    </row>
    <row r="7" spans="1:2195" x14ac:dyDescent="0.25">
      <c r="C7" s="3">
        <v>9.7896003720000007</v>
      </c>
      <c r="D7" s="3">
        <v>9.7517948150000002</v>
      </c>
      <c r="E7" s="3">
        <v>9.7263050080000006</v>
      </c>
      <c r="F7" s="3">
        <v>9.7232227330000001</v>
      </c>
      <c r="G7" s="3">
        <v>9.724627495</v>
      </c>
      <c r="H7" s="3">
        <v>9.7252798079999998</v>
      </c>
      <c r="I7" s="3">
        <v>9.7253646850000006</v>
      </c>
      <c r="J7" s="3">
        <v>9.7255125049999993</v>
      </c>
      <c r="K7" s="3">
        <v>9.725404739</v>
      </c>
      <c r="L7" s="3">
        <v>9.7255010599999991</v>
      </c>
      <c r="M7" s="3">
        <v>9.7254056930000008</v>
      </c>
      <c r="N7" s="3">
        <v>9.7254972459999998</v>
      </c>
      <c r="O7" s="3">
        <v>9.7254056930000008</v>
      </c>
      <c r="P7" s="3">
        <v>9.725495338</v>
      </c>
      <c r="Q7" s="3">
        <v>9.7253932949999999</v>
      </c>
      <c r="R7" s="3">
        <v>9.7254781720000008</v>
      </c>
      <c r="S7" s="3">
        <v>9.7253913880000002</v>
      </c>
      <c r="T7" s="3">
        <v>9.7253932949999999</v>
      </c>
      <c r="U7" s="3">
        <v>9.7249660490000007</v>
      </c>
      <c r="V7" s="3">
        <v>9.7247219089999994</v>
      </c>
      <c r="W7" s="3">
        <v>9.7247772220000002</v>
      </c>
      <c r="X7" s="3">
        <v>9.72963047</v>
      </c>
      <c r="Y7" s="3">
        <v>9.758879662</v>
      </c>
      <c r="Z7" s="3">
        <v>9.7985353469999996</v>
      </c>
    </row>
    <row r="8" spans="1:2195" x14ac:dyDescent="0.25">
      <c r="C8" s="3">
        <v>9.6842222210000006</v>
      </c>
      <c r="D8" s="3">
        <v>9.6455297469999994</v>
      </c>
      <c r="E8" s="3">
        <v>9.6188688280000001</v>
      </c>
      <c r="F8" s="3">
        <v>9.616868019</v>
      </c>
      <c r="G8" s="3">
        <v>9.6183977130000002</v>
      </c>
      <c r="H8" s="3">
        <v>9.6187648770000003</v>
      </c>
      <c r="I8" s="3">
        <v>9.6190919879999992</v>
      </c>
      <c r="J8" s="3">
        <v>9.6191425319999997</v>
      </c>
      <c r="K8" s="3">
        <v>9.6191358569999998</v>
      </c>
      <c r="L8" s="3">
        <v>9.6191568370000002</v>
      </c>
      <c r="M8" s="3">
        <v>9.6191415790000008</v>
      </c>
      <c r="N8" s="3">
        <v>9.6191616060000005</v>
      </c>
      <c r="O8" s="3">
        <v>9.6191415790000008</v>
      </c>
      <c r="P8" s="3">
        <v>9.619158745</v>
      </c>
      <c r="Q8" s="3">
        <v>9.6191244129999998</v>
      </c>
      <c r="R8" s="3">
        <v>9.6191329959999994</v>
      </c>
      <c r="S8" s="3">
        <v>9.6190891270000005</v>
      </c>
      <c r="T8" s="3">
        <v>9.6190357209999995</v>
      </c>
      <c r="U8" s="3">
        <v>9.6184940339999994</v>
      </c>
      <c r="V8" s="3">
        <v>9.6182117460000001</v>
      </c>
      <c r="W8" s="3">
        <v>9.6204338069999995</v>
      </c>
      <c r="X8" s="3">
        <v>9.6284561160000006</v>
      </c>
      <c r="Y8" s="3">
        <v>9.6573915479999997</v>
      </c>
      <c r="Z8" s="3">
        <v>9.6965751650000005</v>
      </c>
    </row>
    <row r="9" spans="1:2195" x14ac:dyDescent="0.25">
      <c r="C9" s="3">
        <v>9.5843858720000004</v>
      </c>
      <c r="D9" s="3">
        <v>9.5461702349999999</v>
      </c>
      <c r="E9" s="3">
        <v>9.5186786649999995</v>
      </c>
      <c r="F9" s="3">
        <v>9.5126199719999995</v>
      </c>
      <c r="G9" s="3">
        <v>9.51211071</v>
      </c>
      <c r="H9" s="3">
        <v>9.5123586650000007</v>
      </c>
      <c r="I9" s="3">
        <v>9.5129137040000007</v>
      </c>
      <c r="J9" s="3">
        <v>9.5130710599999997</v>
      </c>
      <c r="K9" s="3">
        <v>9.5131063460000007</v>
      </c>
      <c r="L9" s="3">
        <v>9.5131263730000004</v>
      </c>
      <c r="M9" s="3">
        <v>9.5131359100000008</v>
      </c>
      <c r="N9" s="3">
        <v>9.5131454469999994</v>
      </c>
      <c r="O9" s="3">
        <v>9.5131340029999993</v>
      </c>
      <c r="P9" s="3">
        <v>9.5131330490000003</v>
      </c>
      <c r="Q9" s="3">
        <v>9.5130834580000005</v>
      </c>
      <c r="R9" s="3">
        <v>9.5130739210000002</v>
      </c>
      <c r="S9" s="3">
        <v>9.5130109790000006</v>
      </c>
      <c r="T9" s="3">
        <v>9.5128507609999993</v>
      </c>
      <c r="U9" s="3">
        <v>9.5120935440000007</v>
      </c>
      <c r="V9" s="3">
        <v>9.5122842789999993</v>
      </c>
      <c r="W9" s="3">
        <v>9.5178880689999996</v>
      </c>
      <c r="X9" s="3">
        <v>9.5318813319999993</v>
      </c>
      <c r="Y9" s="3">
        <v>9.5623235700000002</v>
      </c>
      <c r="Z9" s="3">
        <v>9.5992698670000003</v>
      </c>
    </row>
    <row r="10" spans="1:2195" x14ac:dyDescent="0.25">
      <c r="C10" s="3">
        <v>9.4918336869999997</v>
      </c>
      <c r="D10" s="3">
        <v>9.4526519780000005</v>
      </c>
      <c r="E10" s="3">
        <v>9.4223966600000004</v>
      </c>
      <c r="F10" s="3">
        <v>9.4103479389999993</v>
      </c>
      <c r="G10" s="3">
        <v>9.4060201639999992</v>
      </c>
      <c r="H10" s="3">
        <v>9.4061069489999998</v>
      </c>
      <c r="I10" s="3">
        <v>9.4070472719999998</v>
      </c>
      <c r="J10" s="3">
        <v>9.4071445469999997</v>
      </c>
      <c r="K10" s="3">
        <v>9.4072303769999994</v>
      </c>
      <c r="L10" s="3">
        <v>9.4072380070000001</v>
      </c>
      <c r="M10" s="3">
        <v>9.4072551729999994</v>
      </c>
      <c r="N10" s="3">
        <v>9.4072580339999998</v>
      </c>
      <c r="O10" s="3">
        <v>9.4072532649999996</v>
      </c>
      <c r="P10" s="3">
        <v>9.4072456360000007</v>
      </c>
      <c r="Q10" s="3">
        <v>9.4072208400000008</v>
      </c>
      <c r="R10" s="3">
        <v>9.4071969989999999</v>
      </c>
      <c r="S10" s="3">
        <v>9.4071311949999998</v>
      </c>
      <c r="T10" s="3">
        <v>9.4071302410000008</v>
      </c>
      <c r="U10" s="3">
        <v>9.4062528610000005</v>
      </c>
      <c r="V10" s="3">
        <v>9.4060544969999995</v>
      </c>
      <c r="W10" s="3">
        <v>9.4158306120000006</v>
      </c>
      <c r="X10" s="3">
        <v>9.4387159349999994</v>
      </c>
      <c r="Y10" s="3">
        <v>9.4725036619999994</v>
      </c>
      <c r="Z10" s="3">
        <v>9.5079879760000008</v>
      </c>
    </row>
    <row r="11" spans="1:2195" x14ac:dyDescent="0.25">
      <c r="C11" s="3">
        <v>9.4017543789999998</v>
      </c>
      <c r="D11" s="3">
        <v>9.3627500529999992</v>
      </c>
      <c r="E11" s="3">
        <v>9.3290519710000002</v>
      </c>
      <c r="F11" s="3">
        <v>9.3095674509999995</v>
      </c>
      <c r="G11" s="3">
        <v>9.3004598620000003</v>
      </c>
      <c r="H11" s="3">
        <v>9.2995748519999992</v>
      </c>
      <c r="I11" s="3">
        <v>9.3007469179999998</v>
      </c>
      <c r="J11" s="3">
        <v>9.3010959629999999</v>
      </c>
      <c r="K11" s="3">
        <v>9.3013162610000002</v>
      </c>
      <c r="L11" s="3">
        <v>9.3013372420000007</v>
      </c>
      <c r="M11" s="3">
        <v>9.3013906479999999</v>
      </c>
      <c r="N11" s="3">
        <v>9.3013782500000008</v>
      </c>
      <c r="O11" s="3">
        <v>9.3013763429999994</v>
      </c>
      <c r="P11" s="3">
        <v>9.3014059069999995</v>
      </c>
      <c r="Q11" s="3">
        <v>9.3013906479999999</v>
      </c>
      <c r="R11" s="3">
        <v>9.3013992309999995</v>
      </c>
      <c r="S11" s="3">
        <v>9.3011941910000004</v>
      </c>
      <c r="T11" s="3">
        <v>9.3010253909999996</v>
      </c>
      <c r="U11" s="3">
        <v>9.3004121780000002</v>
      </c>
      <c r="V11" s="3">
        <v>9.3020448679999994</v>
      </c>
      <c r="W11" s="3">
        <v>9.3165655140000005</v>
      </c>
      <c r="X11" s="3">
        <v>9.3460445399999994</v>
      </c>
      <c r="Y11" s="3">
        <v>9.3833580019999996</v>
      </c>
      <c r="Z11" s="3">
        <v>9.4184513089999999</v>
      </c>
    </row>
    <row r="12" spans="1:2195" x14ac:dyDescent="0.25">
      <c r="C12" s="3">
        <v>9.3143739700000001</v>
      </c>
      <c r="D12" s="3">
        <v>9.2749061580000003</v>
      </c>
      <c r="E12" s="3">
        <v>9.2373523710000001</v>
      </c>
      <c r="F12" s="3">
        <v>9.2089223859999993</v>
      </c>
      <c r="G12" s="3">
        <v>9.1941108699999994</v>
      </c>
      <c r="H12" s="3">
        <v>9.1934785839999993</v>
      </c>
      <c r="I12" s="3">
        <v>9.1948881149999995</v>
      </c>
      <c r="J12" s="3">
        <v>9.1951217649999997</v>
      </c>
      <c r="K12" s="3">
        <v>9.1954269409999991</v>
      </c>
      <c r="L12" s="3">
        <v>9.1954498289999993</v>
      </c>
      <c r="M12" s="3">
        <v>9.1954889299999998</v>
      </c>
      <c r="N12" s="3">
        <v>9.195487022</v>
      </c>
      <c r="O12" s="3">
        <v>9.1955146790000004</v>
      </c>
      <c r="P12" s="3">
        <v>9.1955842969999999</v>
      </c>
      <c r="Q12" s="3">
        <v>9.1956567759999999</v>
      </c>
      <c r="R12" s="3">
        <v>9.1957645419999992</v>
      </c>
      <c r="S12" s="3">
        <v>9.1954784390000004</v>
      </c>
      <c r="T12" s="3">
        <v>9.1952915189999995</v>
      </c>
      <c r="U12" s="3">
        <v>9.1957416530000007</v>
      </c>
      <c r="V12" s="3">
        <v>9.19879055</v>
      </c>
      <c r="W12" s="3">
        <v>9.2176990510000003</v>
      </c>
      <c r="X12" s="3">
        <v>9.2546634670000003</v>
      </c>
      <c r="Y12" s="3">
        <v>9.2954673769999996</v>
      </c>
      <c r="Z12" s="3">
        <v>9.3311576840000008</v>
      </c>
    </row>
    <row r="13" spans="1:2195" x14ac:dyDescent="0.25">
      <c r="C13" s="3">
        <v>9.2263479230000005</v>
      </c>
      <c r="D13" s="3">
        <v>9.1868648529999994</v>
      </c>
      <c r="E13" s="3">
        <v>9.1462707519999995</v>
      </c>
      <c r="F13" s="3">
        <v>9.1121788020000007</v>
      </c>
      <c r="G13" s="3">
        <v>9.0924005510000008</v>
      </c>
      <c r="H13" s="3">
        <v>9.0884065629999995</v>
      </c>
      <c r="I13" s="3">
        <v>9.0886497500000001</v>
      </c>
      <c r="J13" s="3">
        <v>9.0889511110000001</v>
      </c>
      <c r="K13" s="3">
        <v>9.0894651409999998</v>
      </c>
      <c r="L13" s="3">
        <v>9.0895767210000002</v>
      </c>
      <c r="M13" s="3">
        <v>9.0896368029999994</v>
      </c>
      <c r="N13" s="3">
        <v>9.0896720890000005</v>
      </c>
      <c r="O13" s="3">
        <v>9.089753151</v>
      </c>
      <c r="P13" s="3">
        <v>9.0898818969999997</v>
      </c>
      <c r="Q13" s="3">
        <v>9.0899820330000001</v>
      </c>
      <c r="R13" s="3">
        <v>9.0900316239999999</v>
      </c>
      <c r="S13" s="3">
        <v>9.0894794460000004</v>
      </c>
      <c r="T13" s="3">
        <v>9.0895576479999995</v>
      </c>
      <c r="U13" s="3">
        <v>9.0927810670000007</v>
      </c>
      <c r="V13" s="3">
        <v>9.1018428799999995</v>
      </c>
      <c r="W13" s="3">
        <v>9.1259174349999999</v>
      </c>
      <c r="X13" s="3">
        <v>9.1651382449999996</v>
      </c>
      <c r="Y13" s="3">
        <v>9.2071866989999993</v>
      </c>
      <c r="Z13" s="3">
        <v>9.2428178790000004</v>
      </c>
    </row>
    <row r="14" spans="1:2195" x14ac:dyDescent="0.25">
      <c r="C14" s="3">
        <v>9.1388025279999994</v>
      </c>
      <c r="D14" s="3">
        <v>9.099115372</v>
      </c>
      <c r="E14" s="3">
        <v>9.0566062929999998</v>
      </c>
      <c r="F14" s="3">
        <v>9.0174531939999998</v>
      </c>
      <c r="G14" s="3">
        <v>8.9924583439999992</v>
      </c>
      <c r="H14" s="3">
        <v>8.9848203659999992</v>
      </c>
      <c r="I14" s="3">
        <v>8.9827070239999998</v>
      </c>
      <c r="J14" s="3">
        <v>8.9828777310000003</v>
      </c>
      <c r="K14" s="3">
        <v>8.983681679</v>
      </c>
      <c r="L14" s="3">
        <v>8.9837751390000005</v>
      </c>
      <c r="M14" s="3">
        <v>8.9838676450000001</v>
      </c>
      <c r="N14" s="3">
        <v>8.9839563370000004</v>
      </c>
      <c r="O14" s="3">
        <v>8.9840908049999992</v>
      </c>
      <c r="P14" s="3">
        <v>8.984302521</v>
      </c>
      <c r="Q14" s="3">
        <v>8.9844369890000007</v>
      </c>
      <c r="R14" s="3">
        <v>8.9845399859999997</v>
      </c>
      <c r="S14" s="3">
        <v>8.9836416240000005</v>
      </c>
      <c r="T14" s="3">
        <v>8.9833602910000003</v>
      </c>
      <c r="U14" s="3">
        <v>8.9905681610000006</v>
      </c>
      <c r="V14" s="3">
        <v>9.0084199910000002</v>
      </c>
      <c r="W14" s="3">
        <v>9.0378732680000002</v>
      </c>
      <c r="X14" s="3">
        <v>9.0773067469999997</v>
      </c>
      <c r="Y14" s="3">
        <v>9.1192302699999992</v>
      </c>
      <c r="Z14" s="3">
        <v>9.1553592679999998</v>
      </c>
    </row>
    <row r="15" spans="1:2195" x14ac:dyDescent="0.25">
      <c r="C15" s="3">
        <v>9.0505447389999993</v>
      </c>
      <c r="D15" s="3">
        <v>9.0110464100000005</v>
      </c>
      <c r="E15" s="3">
        <v>8.9678840639999997</v>
      </c>
      <c r="F15" s="3">
        <v>8.927113533</v>
      </c>
      <c r="G15" s="3">
        <v>8.8977537160000004</v>
      </c>
      <c r="H15" s="3">
        <v>8.8832368850000005</v>
      </c>
      <c r="I15" s="3">
        <v>8.8771238330000006</v>
      </c>
      <c r="J15" s="3">
        <v>8.8766050340000007</v>
      </c>
      <c r="K15" s="3">
        <v>8.8777446750000006</v>
      </c>
      <c r="L15" s="3">
        <v>8.8781156540000001</v>
      </c>
      <c r="M15" s="3">
        <v>8.8783493040000003</v>
      </c>
      <c r="N15" s="3">
        <v>8.8785228729999996</v>
      </c>
      <c r="O15" s="3">
        <v>8.8786973949999997</v>
      </c>
      <c r="P15" s="3">
        <v>8.8789119719999992</v>
      </c>
      <c r="Q15" s="3">
        <v>8.8789224620000002</v>
      </c>
      <c r="R15" s="3">
        <v>8.8787565229999998</v>
      </c>
      <c r="S15" s="3">
        <v>8.8774108890000001</v>
      </c>
      <c r="T15" s="3">
        <v>8.8778648380000007</v>
      </c>
      <c r="U15" s="3">
        <v>8.8895921710000003</v>
      </c>
      <c r="V15" s="3">
        <v>8.9151210780000003</v>
      </c>
      <c r="W15" s="3">
        <v>8.9496297840000008</v>
      </c>
      <c r="X15" s="3">
        <v>8.9897947309999999</v>
      </c>
      <c r="Y15" s="3">
        <v>9.0312643050000005</v>
      </c>
      <c r="Z15" s="3">
        <v>9.0666685099999995</v>
      </c>
    </row>
    <row r="16" spans="1:2195" x14ac:dyDescent="0.25">
      <c r="C16" s="3">
        <v>8.9627285000000008</v>
      </c>
      <c r="D16" s="3">
        <v>8.9230051039999996</v>
      </c>
      <c r="E16" s="3">
        <v>8.8800821299999999</v>
      </c>
      <c r="F16" s="3">
        <v>8.8394289019999999</v>
      </c>
      <c r="G16" s="3">
        <v>8.8058910370000003</v>
      </c>
      <c r="H16" s="3">
        <v>8.7822780609999995</v>
      </c>
      <c r="I16" s="3">
        <v>8.7706899640000007</v>
      </c>
      <c r="J16" s="3">
        <v>8.7703123089999995</v>
      </c>
      <c r="K16" s="3">
        <v>8.7720708849999998</v>
      </c>
      <c r="L16" s="3">
        <v>8.7724952700000003</v>
      </c>
      <c r="M16" s="3">
        <v>8.7728939060000002</v>
      </c>
      <c r="N16" s="3">
        <v>8.7731952670000002</v>
      </c>
      <c r="O16" s="3">
        <v>8.7733516690000002</v>
      </c>
      <c r="P16" s="3">
        <v>8.7735986710000002</v>
      </c>
      <c r="Q16" s="3">
        <v>8.7733955380000008</v>
      </c>
      <c r="R16" s="3">
        <v>8.7733077999999995</v>
      </c>
      <c r="S16" s="3">
        <v>8.7718114850000006</v>
      </c>
      <c r="T16" s="3">
        <v>8.7717380519999999</v>
      </c>
      <c r="U16" s="3">
        <v>8.7879428859999997</v>
      </c>
      <c r="V16" s="3">
        <v>8.8228626250000008</v>
      </c>
      <c r="W16" s="3">
        <v>8.8619375229999999</v>
      </c>
      <c r="X16" s="3">
        <v>8.9020442959999997</v>
      </c>
      <c r="Y16" s="3">
        <v>8.9431200030000007</v>
      </c>
      <c r="Z16" s="3">
        <v>8.9791564939999997</v>
      </c>
    </row>
    <row r="17" spans="3:26" x14ac:dyDescent="0.25">
      <c r="C17" s="3">
        <v>8.8743925089999998</v>
      </c>
      <c r="D17" s="3">
        <v>8.8350286479999998</v>
      </c>
      <c r="E17" s="3">
        <v>8.7924985889999991</v>
      </c>
      <c r="F17" s="3">
        <v>8.7514333719999993</v>
      </c>
      <c r="G17" s="3">
        <v>8.714012146</v>
      </c>
      <c r="H17" s="3">
        <v>8.6829977039999999</v>
      </c>
      <c r="I17" s="3">
        <v>8.6656808850000004</v>
      </c>
      <c r="J17" s="3">
        <v>8.6638202670000002</v>
      </c>
      <c r="K17" s="3">
        <v>8.6656894680000001</v>
      </c>
      <c r="L17" s="3">
        <v>8.6666898729999993</v>
      </c>
      <c r="M17" s="3">
        <v>8.66757679</v>
      </c>
      <c r="N17" s="3">
        <v>8.6680011750000006</v>
      </c>
      <c r="O17" s="3">
        <v>8.6682138440000003</v>
      </c>
      <c r="P17" s="3">
        <v>8.6682767869999999</v>
      </c>
      <c r="Q17" s="3">
        <v>8.6676778789999993</v>
      </c>
      <c r="R17" s="3">
        <v>8.6670427320000005</v>
      </c>
      <c r="S17" s="3">
        <v>8.6664543149999993</v>
      </c>
      <c r="T17" s="3">
        <v>8.6710910800000001</v>
      </c>
      <c r="U17" s="3">
        <v>8.6941299440000002</v>
      </c>
      <c r="V17" s="3">
        <v>8.7326650620000006</v>
      </c>
      <c r="W17" s="3">
        <v>8.7736797329999998</v>
      </c>
      <c r="X17" s="3">
        <v>8.8142614360000007</v>
      </c>
      <c r="Y17" s="3">
        <v>8.8550662990000006</v>
      </c>
      <c r="Z17" s="3">
        <v>8.8905382159999995</v>
      </c>
    </row>
    <row r="18" spans="3:26" x14ac:dyDescent="0.25">
      <c r="C18" s="3">
        <v>8.7865419389999992</v>
      </c>
      <c r="D18" s="3">
        <v>8.7468900680000008</v>
      </c>
      <c r="E18" s="3">
        <v>8.7046689990000008</v>
      </c>
      <c r="F18" s="3">
        <v>8.6639080049999997</v>
      </c>
      <c r="G18" s="3">
        <v>8.6237716669999998</v>
      </c>
      <c r="H18" s="3">
        <v>8.5850772860000006</v>
      </c>
      <c r="I18" s="3">
        <v>8.5595798490000004</v>
      </c>
      <c r="J18" s="3">
        <v>8.5563383099999992</v>
      </c>
      <c r="K18" s="3">
        <v>8.5564079280000005</v>
      </c>
      <c r="L18" s="3">
        <v>8.5568418499999996</v>
      </c>
      <c r="M18" s="3">
        <v>8.5585737230000003</v>
      </c>
      <c r="N18" s="3">
        <v>8.5586557390000007</v>
      </c>
      <c r="O18" s="3">
        <v>8.5591611860000008</v>
      </c>
      <c r="P18" s="3">
        <v>8.5589551929999992</v>
      </c>
      <c r="Q18" s="3">
        <v>8.5582332609999998</v>
      </c>
      <c r="R18" s="3">
        <v>8.5571365359999998</v>
      </c>
      <c r="S18" s="3">
        <v>8.5596952440000003</v>
      </c>
      <c r="T18" s="3">
        <v>8.571361542</v>
      </c>
      <c r="U18" s="3">
        <v>8.6056251530000001</v>
      </c>
      <c r="V18" s="3">
        <v>8.6449728009999998</v>
      </c>
      <c r="W18" s="3">
        <v>8.6858968730000008</v>
      </c>
      <c r="X18" s="3">
        <v>8.7262277600000004</v>
      </c>
      <c r="Y18" s="3">
        <v>8.7668876650000005</v>
      </c>
      <c r="Z18" s="3">
        <v>8.8030605319999999</v>
      </c>
    </row>
    <row r="19" spans="3:26" x14ac:dyDescent="0.25">
      <c r="C19" s="3">
        <v>8.698187828</v>
      </c>
      <c r="D19" s="3">
        <v>8.6588258739999997</v>
      </c>
      <c r="E19" s="3">
        <v>8.6169118880000006</v>
      </c>
      <c r="F19" s="3">
        <v>8.5761203770000005</v>
      </c>
      <c r="G19" s="3">
        <v>8.5352506639999994</v>
      </c>
      <c r="H19" s="3">
        <v>8.4947004320000001</v>
      </c>
      <c r="I19" s="3">
        <v>8.4614381789999999</v>
      </c>
      <c r="J19" s="3">
        <v>8.4423818589999993</v>
      </c>
      <c r="K19" s="3">
        <v>8.4332265849999999</v>
      </c>
      <c r="L19" s="3">
        <v>8.4322957990000003</v>
      </c>
      <c r="M19" s="3">
        <v>8.4344625470000008</v>
      </c>
      <c r="N19" s="3">
        <v>8.435016632</v>
      </c>
      <c r="O19" s="3">
        <v>8.4352302550000005</v>
      </c>
      <c r="P19" s="3">
        <v>8.4346818920000004</v>
      </c>
      <c r="Q19" s="3">
        <v>8.4331417080000008</v>
      </c>
      <c r="R19" s="3">
        <v>8.4333267210000002</v>
      </c>
      <c r="S19" s="3">
        <v>8.4456586839999996</v>
      </c>
      <c r="T19" s="3">
        <v>8.4747076030000006</v>
      </c>
      <c r="U19" s="3">
        <v>8.5168132780000008</v>
      </c>
      <c r="V19" s="3">
        <v>8.557864189</v>
      </c>
      <c r="W19" s="3">
        <v>8.5982427599999998</v>
      </c>
      <c r="X19" s="3">
        <v>8.6383476259999998</v>
      </c>
      <c r="Y19" s="3">
        <v>8.6787996290000002</v>
      </c>
      <c r="Z19" s="3">
        <v>8.7146053309999996</v>
      </c>
    </row>
    <row r="20" spans="3:26" x14ac:dyDescent="0.25">
      <c r="C20" s="3">
        <v>8.6102304459999992</v>
      </c>
      <c r="D20" s="3">
        <v>8.5705757140000003</v>
      </c>
      <c r="E20" s="3">
        <v>8.528820992</v>
      </c>
      <c r="F20" s="3">
        <v>8.4882717129999996</v>
      </c>
      <c r="G20" s="3">
        <v>8.4480104449999995</v>
      </c>
      <c r="H20" s="3">
        <v>8.4079647059999996</v>
      </c>
      <c r="I20" s="3">
        <v>8.3644933699999999</v>
      </c>
      <c r="J20" s="3">
        <v>8.3206901549999994</v>
      </c>
      <c r="K20" s="3">
        <v>8.2968921659999992</v>
      </c>
      <c r="L20" s="3">
        <v>8.2963705060000006</v>
      </c>
      <c r="M20" s="3">
        <v>8.2996006009999999</v>
      </c>
      <c r="N20" s="3">
        <v>8.3002605440000004</v>
      </c>
      <c r="O20" s="3">
        <v>8.3001270290000004</v>
      </c>
      <c r="P20" s="3">
        <v>8.2997989650000008</v>
      </c>
      <c r="Q20" s="3">
        <v>8.2983579639999991</v>
      </c>
      <c r="R20" s="3">
        <v>8.2980775829999995</v>
      </c>
      <c r="S20" s="3">
        <v>8.3228149410000007</v>
      </c>
      <c r="T20" s="3">
        <v>8.3781404500000001</v>
      </c>
      <c r="U20" s="3">
        <v>8.4300403589999995</v>
      </c>
      <c r="V20" s="3">
        <v>8.4706344599999994</v>
      </c>
      <c r="W20" s="3">
        <v>8.5101413729999997</v>
      </c>
      <c r="X20" s="3">
        <v>8.5501747130000005</v>
      </c>
      <c r="Y20" s="3">
        <v>8.5905799869999999</v>
      </c>
      <c r="Z20" s="3">
        <v>8.6269826890000001</v>
      </c>
    </row>
    <row r="21" spans="3:26" x14ac:dyDescent="0.25">
      <c r="C21" s="3">
        <v>8.5219116209999992</v>
      </c>
      <c r="D21" s="3">
        <v>8.4825010299999999</v>
      </c>
      <c r="E21" s="3">
        <v>8.4409866329999996</v>
      </c>
      <c r="F21" s="3">
        <v>8.4007425310000006</v>
      </c>
      <c r="G21" s="3">
        <v>8.3611421589999999</v>
      </c>
      <c r="H21" s="3">
        <v>8.3190689090000003</v>
      </c>
      <c r="I21" s="3">
        <v>8.2638483049999998</v>
      </c>
      <c r="J21" s="3">
        <v>8.2002449039999998</v>
      </c>
      <c r="K21" s="3">
        <v>8.1624374389999996</v>
      </c>
      <c r="L21" s="3">
        <v>8.1584377289999992</v>
      </c>
      <c r="M21" s="3">
        <v>8.1622114180000001</v>
      </c>
      <c r="N21" s="3">
        <v>8.1635093689999998</v>
      </c>
      <c r="O21" s="3">
        <v>8.1632232669999993</v>
      </c>
      <c r="P21" s="3">
        <v>8.1630649569999996</v>
      </c>
      <c r="Q21" s="3">
        <v>8.1656484599999999</v>
      </c>
      <c r="R21" s="3">
        <v>8.175871849</v>
      </c>
      <c r="S21" s="3">
        <v>8.2146043780000007</v>
      </c>
      <c r="T21" s="3">
        <v>8.2816782</v>
      </c>
      <c r="U21" s="3">
        <v>8.3407135009999998</v>
      </c>
      <c r="V21" s="3">
        <v>8.3833341600000004</v>
      </c>
      <c r="W21" s="3">
        <v>8.4224300379999999</v>
      </c>
      <c r="X21" s="3">
        <v>8.4622077939999993</v>
      </c>
      <c r="Y21" s="3">
        <v>8.5024785999999999</v>
      </c>
      <c r="Z21" s="3">
        <v>8.5384664539999999</v>
      </c>
    </row>
    <row r="22" spans="3:26" x14ac:dyDescent="0.25">
      <c r="C22" s="3">
        <v>8.4339742659999999</v>
      </c>
      <c r="D22" s="3">
        <v>8.3942890170000002</v>
      </c>
      <c r="E22" s="3">
        <v>8.3528261179999994</v>
      </c>
      <c r="F22" s="3">
        <v>8.3126153949999999</v>
      </c>
      <c r="G22" s="3">
        <v>8.2737989429999992</v>
      </c>
      <c r="H22" s="3">
        <v>8.2331666949999995</v>
      </c>
      <c r="I22" s="3">
        <v>8.1686363219999993</v>
      </c>
      <c r="J22" s="3">
        <v>8.0799322129999993</v>
      </c>
      <c r="K22" s="3">
        <v>8.0264587400000007</v>
      </c>
      <c r="L22" s="3">
        <v>8.0239267349999999</v>
      </c>
      <c r="M22" s="3">
        <v>8.0274028780000002</v>
      </c>
      <c r="N22" s="3">
        <v>8.0282411580000002</v>
      </c>
      <c r="O22" s="3">
        <v>8.0277786249999998</v>
      </c>
      <c r="P22" s="3">
        <v>8.0270414349999992</v>
      </c>
      <c r="Q22" s="3">
        <v>8.0369710919999999</v>
      </c>
      <c r="R22" s="3">
        <v>8.0625600810000009</v>
      </c>
      <c r="S22" s="3">
        <v>8.1149539950000005</v>
      </c>
      <c r="T22" s="3">
        <v>8.1910390849999999</v>
      </c>
      <c r="U22" s="3">
        <v>8.2541542050000007</v>
      </c>
      <c r="V22" s="3">
        <v>8.2957372669999998</v>
      </c>
      <c r="W22" s="3">
        <v>8.3341646189999992</v>
      </c>
      <c r="X22" s="3">
        <v>8.3739900590000005</v>
      </c>
      <c r="Y22" s="3">
        <v>8.4142770769999995</v>
      </c>
      <c r="Z22" s="3">
        <v>8.4508848190000005</v>
      </c>
    </row>
    <row r="23" spans="3:26" x14ac:dyDescent="0.25">
      <c r="C23" s="3">
        <v>8.3456649780000003</v>
      </c>
      <c r="D23" s="3">
        <v>8.3061885830000008</v>
      </c>
      <c r="E23" s="3">
        <v>8.2649145130000008</v>
      </c>
      <c r="F23" s="3">
        <v>8.2249488829999997</v>
      </c>
      <c r="G23" s="3">
        <v>8.1866693500000007</v>
      </c>
      <c r="H23" s="3">
        <v>8.1443901059999995</v>
      </c>
      <c r="I23" s="3">
        <v>8.0743045809999998</v>
      </c>
      <c r="J23" s="3">
        <v>7.978379726</v>
      </c>
      <c r="K23" s="3">
        <v>7.9130787849999997</v>
      </c>
      <c r="L23" s="3">
        <v>7.8957018850000003</v>
      </c>
      <c r="M23" s="3">
        <v>7.8919386859999996</v>
      </c>
      <c r="N23" s="3">
        <v>7.891592503</v>
      </c>
      <c r="O23" s="3">
        <v>7.8909244540000003</v>
      </c>
      <c r="P23" s="3">
        <v>7.8920531269999996</v>
      </c>
      <c r="Q23" s="3">
        <v>7.9121484759999996</v>
      </c>
      <c r="R23" s="3">
        <v>7.9562530520000001</v>
      </c>
      <c r="S23" s="3">
        <v>8.0224676129999999</v>
      </c>
      <c r="T23" s="3">
        <v>8.1018648150000008</v>
      </c>
      <c r="U23" s="3">
        <v>8.1658124920000006</v>
      </c>
      <c r="V23" s="3">
        <v>8.2082777020000002</v>
      </c>
      <c r="W23" s="3">
        <v>8.2464323040000007</v>
      </c>
      <c r="X23" s="3">
        <v>8.2860231399999993</v>
      </c>
      <c r="Y23" s="3">
        <v>8.3261709209999992</v>
      </c>
      <c r="Z23" s="3">
        <v>8.3622875210000007</v>
      </c>
    </row>
    <row r="24" spans="3:26" x14ac:dyDescent="0.25">
      <c r="C24" s="3">
        <v>8.2576723100000002</v>
      </c>
      <c r="D24" s="3">
        <v>8.2179498669999997</v>
      </c>
      <c r="E24" s="3">
        <v>8.1766653060000003</v>
      </c>
      <c r="F24" s="3">
        <v>8.1366395950000001</v>
      </c>
      <c r="G24" s="3">
        <v>8.0986957549999996</v>
      </c>
      <c r="H24" s="3">
        <v>8.057936668</v>
      </c>
      <c r="I24" s="3">
        <v>7.9875001909999996</v>
      </c>
      <c r="J24" s="3">
        <v>7.8880305289999999</v>
      </c>
      <c r="K24" s="3">
        <v>7.8108520510000004</v>
      </c>
      <c r="L24" s="3">
        <v>7.7724266049999997</v>
      </c>
      <c r="M24" s="3">
        <v>7.7563319210000001</v>
      </c>
      <c r="N24" s="3">
        <v>7.7558264729999999</v>
      </c>
      <c r="O24" s="3">
        <v>7.7561235430000002</v>
      </c>
      <c r="P24" s="3">
        <v>7.7558803559999996</v>
      </c>
      <c r="Q24" s="3">
        <v>7.7868146899999999</v>
      </c>
      <c r="R24" s="3">
        <v>7.8554172519999996</v>
      </c>
      <c r="S24" s="3">
        <v>7.9354376789999996</v>
      </c>
      <c r="T24" s="3">
        <v>8.0154752729999998</v>
      </c>
      <c r="U24" s="3">
        <v>8.0787754060000001</v>
      </c>
      <c r="V24" s="3">
        <v>8.1202669140000001</v>
      </c>
      <c r="W24" s="3">
        <v>8.158119202</v>
      </c>
      <c r="X24" s="3">
        <v>8.1977920530000006</v>
      </c>
      <c r="Y24" s="3">
        <v>8.2379579540000005</v>
      </c>
      <c r="Z24" s="3">
        <v>8.2746305469999992</v>
      </c>
    </row>
    <row r="25" spans="3:26" x14ac:dyDescent="0.25">
      <c r="C25" s="3">
        <v>8.1693763730000004</v>
      </c>
      <c r="D25" s="3">
        <v>8.1298370359999996</v>
      </c>
      <c r="E25" s="3">
        <v>8.0887136460000004</v>
      </c>
      <c r="F25" s="3">
        <v>8.0488719940000006</v>
      </c>
      <c r="G25" s="3">
        <v>8.0112533569999993</v>
      </c>
      <c r="H25" s="3">
        <v>7.9698119160000003</v>
      </c>
      <c r="I25" s="3">
        <v>7.8993773459999996</v>
      </c>
      <c r="J25" s="3">
        <v>7.7997975349999997</v>
      </c>
      <c r="K25" s="3">
        <v>7.7113556860000001</v>
      </c>
      <c r="L25" s="3">
        <v>7.6520280840000003</v>
      </c>
      <c r="M25" s="3">
        <v>7.622001171</v>
      </c>
      <c r="N25" s="3">
        <v>7.6183409690000001</v>
      </c>
      <c r="O25" s="3">
        <v>7.6212096210000002</v>
      </c>
      <c r="P25" s="3">
        <v>7.6289310459999999</v>
      </c>
      <c r="Q25" s="3">
        <v>7.6728487010000004</v>
      </c>
      <c r="R25" s="3">
        <v>7.7563061710000003</v>
      </c>
      <c r="S25" s="3">
        <v>7.8464484209999998</v>
      </c>
      <c r="T25" s="3">
        <v>7.9281415940000004</v>
      </c>
      <c r="U25" s="3">
        <v>7.9905657769999996</v>
      </c>
      <c r="V25" s="3">
        <v>8.0325050349999998</v>
      </c>
      <c r="W25" s="3">
        <v>8.0703067780000008</v>
      </c>
      <c r="X25" s="3">
        <v>8.1097955699999993</v>
      </c>
      <c r="Y25" s="3">
        <v>8.1498460769999994</v>
      </c>
      <c r="Z25" s="3">
        <v>8.1860008240000006</v>
      </c>
    </row>
    <row r="26" spans="3:26" x14ac:dyDescent="0.25">
      <c r="C26" s="3">
        <v>8.0814199450000004</v>
      </c>
      <c r="D26" s="3">
        <v>8.0416564939999997</v>
      </c>
      <c r="E26" s="3">
        <v>8.0004873280000002</v>
      </c>
      <c r="F26" s="3">
        <v>7.9605336189999996</v>
      </c>
      <c r="G26" s="3">
        <v>7.9229655269999997</v>
      </c>
      <c r="H26" s="3">
        <v>7.8826484680000002</v>
      </c>
      <c r="I26" s="3">
        <v>7.8134727479999997</v>
      </c>
      <c r="J26" s="3">
        <v>7.7131872179999998</v>
      </c>
      <c r="K26" s="3">
        <v>7.614387035</v>
      </c>
      <c r="L26" s="3">
        <v>7.531515121</v>
      </c>
      <c r="M26" s="3">
        <v>7.4857306479999997</v>
      </c>
      <c r="N26" s="3">
        <v>7.4828009609999997</v>
      </c>
      <c r="O26" s="3">
        <v>7.4906892779999996</v>
      </c>
      <c r="P26" s="3">
        <v>7.5066833500000003</v>
      </c>
      <c r="Q26" s="3">
        <v>7.5632700919999998</v>
      </c>
      <c r="R26" s="3">
        <v>7.6621446610000001</v>
      </c>
      <c r="S26" s="3">
        <v>7.7599005700000001</v>
      </c>
      <c r="T26" s="3">
        <v>7.8415207860000002</v>
      </c>
      <c r="U26" s="3">
        <v>7.9030694959999996</v>
      </c>
      <c r="V26" s="3">
        <v>7.9442429539999999</v>
      </c>
      <c r="W26" s="3">
        <v>7.9819583889999999</v>
      </c>
      <c r="X26" s="3">
        <v>8.0215492249999993</v>
      </c>
      <c r="Y26" s="3">
        <v>8.0616569519999999</v>
      </c>
      <c r="Z26" s="3">
        <v>8.0979070659999994</v>
      </c>
    </row>
    <row r="27" spans="3:26" x14ac:dyDescent="0.25">
      <c r="C27" s="3">
        <v>7.9931578639999996</v>
      </c>
      <c r="D27" s="3">
        <v>7.9535608289999997</v>
      </c>
      <c r="E27" s="3">
        <v>7.9125099179999996</v>
      </c>
      <c r="F27" s="3">
        <v>7.8726592059999998</v>
      </c>
      <c r="G27" s="3">
        <v>7.8352594379999996</v>
      </c>
      <c r="H27" s="3">
        <v>7.7941212650000002</v>
      </c>
      <c r="I27" s="3">
        <v>7.7252354619999997</v>
      </c>
      <c r="J27" s="3">
        <v>7.625331879</v>
      </c>
      <c r="K27" s="3">
        <v>7.519516468</v>
      </c>
      <c r="L27" s="3">
        <v>7.4240460400000003</v>
      </c>
      <c r="M27" s="3">
        <v>7.3638973239999999</v>
      </c>
      <c r="N27" s="3">
        <v>7.3505320550000004</v>
      </c>
      <c r="O27" s="3">
        <v>7.3625197409999998</v>
      </c>
      <c r="P27" s="3">
        <v>7.3955564499999999</v>
      </c>
      <c r="Q27" s="3">
        <v>7.4671516420000001</v>
      </c>
      <c r="R27" s="3">
        <v>7.5712499619999996</v>
      </c>
      <c r="S27" s="3">
        <v>7.6722559930000003</v>
      </c>
      <c r="T27" s="3">
        <v>7.7544789310000004</v>
      </c>
      <c r="U27" s="3">
        <v>7.8145656590000003</v>
      </c>
      <c r="V27" s="3">
        <v>7.8561363220000002</v>
      </c>
      <c r="W27" s="3">
        <v>7.8940167429999999</v>
      </c>
      <c r="X27" s="3">
        <v>7.933524609</v>
      </c>
      <c r="Y27" s="3">
        <v>7.9735741620000002</v>
      </c>
      <c r="Z27" s="3">
        <v>8.0085039140000003</v>
      </c>
    </row>
    <row r="28" spans="3:26" x14ac:dyDescent="0.25">
      <c r="C28" s="3">
        <v>7.9051928519999999</v>
      </c>
      <c r="D28" s="3">
        <v>7.8653907780000001</v>
      </c>
      <c r="E28" s="3">
        <v>7.8242859840000003</v>
      </c>
      <c r="F28" s="3">
        <v>7.7843170170000002</v>
      </c>
      <c r="G28" s="3">
        <v>7.7472190860000003</v>
      </c>
      <c r="H28" s="3">
        <v>7.7073717119999996</v>
      </c>
      <c r="I28" s="3">
        <v>7.6395173070000002</v>
      </c>
      <c r="J28" s="3">
        <v>7.5390338899999998</v>
      </c>
      <c r="K28" s="3">
        <v>7.4288663860000002</v>
      </c>
      <c r="L28" s="3">
        <v>7.3249549869999999</v>
      </c>
      <c r="M28" s="3">
        <v>7.2473335270000003</v>
      </c>
      <c r="N28" s="3">
        <v>7.2174558639999997</v>
      </c>
      <c r="O28" s="3">
        <v>7.2329869269999998</v>
      </c>
      <c r="P28" s="3">
        <v>7.2898435590000004</v>
      </c>
      <c r="Q28" s="3">
        <v>7.379614353</v>
      </c>
      <c r="R28" s="3">
        <v>7.4843516350000003</v>
      </c>
      <c r="S28" s="3">
        <v>7.5878148080000001</v>
      </c>
      <c r="T28" s="3">
        <v>7.670974255</v>
      </c>
      <c r="U28" s="3">
        <v>7.7270770070000001</v>
      </c>
      <c r="V28" s="3">
        <v>7.7680225370000002</v>
      </c>
      <c r="W28" s="3">
        <v>7.8056883810000004</v>
      </c>
      <c r="X28" s="3">
        <v>7.8453149800000004</v>
      </c>
      <c r="Y28" s="3">
        <v>7.8854246139999997</v>
      </c>
      <c r="Z28" s="3">
        <v>7.9208540919999999</v>
      </c>
    </row>
    <row r="29" spans="3:26" x14ac:dyDescent="0.25">
      <c r="C29" s="3">
        <v>7.8169527050000003</v>
      </c>
      <c r="D29" s="3">
        <v>7.7773370740000001</v>
      </c>
      <c r="E29" s="3">
        <v>7.7363724710000001</v>
      </c>
      <c r="F29" s="3">
        <v>7.6967277530000002</v>
      </c>
      <c r="G29" s="3">
        <v>7.6604709629999999</v>
      </c>
      <c r="H29" s="3">
        <v>7.6225447649999998</v>
      </c>
      <c r="I29" s="3">
        <v>7.5563325880000001</v>
      </c>
      <c r="J29" s="3">
        <v>7.4527297020000001</v>
      </c>
      <c r="K29" s="3">
        <v>7.3392252920000001</v>
      </c>
      <c r="L29" s="3">
        <v>7.2281799319999998</v>
      </c>
      <c r="M29" s="3">
        <v>7.1309514050000002</v>
      </c>
      <c r="N29" s="3">
        <v>7.0864086149999999</v>
      </c>
      <c r="O29" s="3">
        <v>7.1008610729999999</v>
      </c>
      <c r="P29" s="3">
        <v>7.1829905509999996</v>
      </c>
      <c r="Q29" s="3">
        <v>7.2888855929999998</v>
      </c>
      <c r="R29" s="3">
        <v>7.3986005779999999</v>
      </c>
      <c r="S29" s="3">
        <v>7.5065245630000001</v>
      </c>
      <c r="T29" s="3">
        <v>7.5942211149999999</v>
      </c>
      <c r="U29" s="3">
        <v>7.6428394319999997</v>
      </c>
      <c r="V29" s="3">
        <v>7.6810283659999996</v>
      </c>
      <c r="W29" s="3">
        <v>7.7180314059999997</v>
      </c>
      <c r="X29" s="3">
        <v>7.7573671339999999</v>
      </c>
      <c r="Y29" s="3">
        <v>7.7973852160000003</v>
      </c>
      <c r="Z29" s="3">
        <v>7.8323607439999998</v>
      </c>
    </row>
    <row r="30" spans="3:26" x14ac:dyDescent="0.25">
      <c r="C30" s="3">
        <v>7.7289905550000002</v>
      </c>
      <c r="D30" s="3">
        <v>7.689169884</v>
      </c>
      <c r="E30" s="3">
        <v>7.648154259</v>
      </c>
      <c r="F30" s="3">
        <v>7.6083374020000001</v>
      </c>
      <c r="G30" s="3">
        <v>7.5717358590000003</v>
      </c>
      <c r="H30" s="3">
        <v>7.5332536699999997</v>
      </c>
      <c r="I30" s="3">
        <v>7.4662523270000003</v>
      </c>
      <c r="J30" s="3">
        <v>7.3643641469999999</v>
      </c>
      <c r="K30" s="3">
        <v>7.2516798969999998</v>
      </c>
      <c r="L30" s="3">
        <v>7.1421537400000004</v>
      </c>
      <c r="M30" s="3">
        <v>7.0486698150000002</v>
      </c>
      <c r="N30" s="3">
        <v>6.9973254200000001</v>
      </c>
      <c r="O30" s="3">
        <v>7.012695312</v>
      </c>
      <c r="P30" s="3">
        <v>7.0951194759999998</v>
      </c>
      <c r="Q30" s="3">
        <v>7.2024865150000004</v>
      </c>
      <c r="R30" s="3">
        <v>7.3110141750000004</v>
      </c>
      <c r="S30" s="3">
        <v>7.4149494169999999</v>
      </c>
      <c r="T30" s="3">
        <v>7.4989070890000002</v>
      </c>
      <c r="U30" s="3">
        <v>7.5536265370000004</v>
      </c>
      <c r="V30" s="3">
        <v>7.5926465990000001</v>
      </c>
      <c r="W30" s="3">
        <v>7.6296634670000003</v>
      </c>
      <c r="X30" s="3">
        <v>7.6691617970000001</v>
      </c>
      <c r="Y30" s="3">
        <v>7.7092304230000002</v>
      </c>
      <c r="Z30" s="3">
        <v>7.7447423930000001</v>
      </c>
    </row>
    <row r="31" spans="3:26" x14ac:dyDescent="0.25">
      <c r="C31" s="3">
        <v>7.6407432560000004</v>
      </c>
      <c r="D31" s="3">
        <v>7.6011176110000003</v>
      </c>
      <c r="E31" s="3">
        <v>7.5601649279999998</v>
      </c>
      <c r="F31" s="3">
        <v>7.5203351969999996</v>
      </c>
      <c r="G31" s="3">
        <v>7.4831500049999997</v>
      </c>
      <c r="H31" s="3">
        <v>7.4422020910000004</v>
      </c>
      <c r="I31" s="3">
        <v>7.3743305210000001</v>
      </c>
      <c r="J31" s="3">
        <v>7.2751383780000003</v>
      </c>
      <c r="K31" s="3">
        <v>7.1645307540000003</v>
      </c>
      <c r="L31" s="3">
        <v>7.0579972270000004</v>
      </c>
      <c r="M31" s="3">
        <v>6.9705629350000002</v>
      </c>
      <c r="N31" s="3">
        <v>6.9215550419999996</v>
      </c>
      <c r="O31" s="3">
        <v>6.936185837</v>
      </c>
      <c r="P31" s="3">
        <v>7.012758732</v>
      </c>
      <c r="Q31" s="3">
        <v>7.115818977</v>
      </c>
      <c r="R31" s="3">
        <v>7.2221159930000001</v>
      </c>
      <c r="S31" s="3">
        <v>7.3215308190000004</v>
      </c>
      <c r="T31" s="3">
        <v>7.4032053949999996</v>
      </c>
      <c r="U31" s="3">
        <v>7.4622826580000003</v>
      </c>
      <c r="V31" s="3">
        <v>7.5039982800000002</v>
      </c>
      <c r="W31" s="3">
        <v>7.5416841510000001</v>
      </c>
      <c r="X31" s="3">
        <v>7.5811586379999998</v>
      </c>
      <c r="Y31" s="3">
        <v>7.621168613</v>
      </c>
      <c r="Z31" s="3">
        <v>7.6561918259999997</v>
      </c>
    </row>
    <row r="32" spans="3:26" x14ac:dyDescent="0.25">
      <c r="C32" s="3">
        <v>7.5527863499999999</v>
      </c>
      <c r="D32" s="3">
        <v>7.5129551890000004</v>
      </c>
      <c r="E32" s="3">
        <v>7.4719667430000003</v>
      </c>
      <c r="F32" s="3">
        <v>7.4320445060000004</v>
      </c>
      <c r="G32" s="3">
        <v>7.3946361539999996</v>
      </c>
      <c r="H32" s="3">
        <v>7.3545932770000002</v>
      </c>
      <c r="I32" s="3">
        <v>7.2870454789999997</v>
      </c>
      <c r="J32" s="3">
        <v>7.186900616</v>
      </c>
      <c r="K32" s="3">
        <v>7.0766296390000001</v>
      </c>
      <c r="L32" s="3">
        <v>6.9697852129999998</v>
      </c>
      <c r="M32" s="3">
        <v>6.8835697170000003</v>
      </c>
      <c r="N32" s="3">
        <v>6.8341584209999997</v>
      </c>
      <c r="O32" s="3">
        <v>6.8475050929999997</v>
      </c>
      <c r="P32" s="3">
        <v>6.9258985519999996</v>
      </c>
      <c r="Q32" s="3">
        <v>7.0279760360000001</v>
      </c>
      <c r="R32" s="3">
        <v>7.1344380379999999</v>
      </c>
      <c r="S32" s="3">
        <v>7.2328882219999997</v>
      </c>
      <c r="T32" s="3">
        <v>7.3143401150000003</v>
      </c>
      <c r="U32" s="3">
        <v>7.3747863770000004</v>
      </c>
      <c r="V32" s="3">
        <v>7.4157915120000002</v>
      </c>
      <c r="W32" s="3">
        <v>7.4533996580000004</v>
      </c>
      <c r="X32" s="3">
        <v>7.4929790499999998</v>
      </c>
      <c r="Y32" s="3">
        <v>7.533019543</v>
      </c>
      <c r="Z32" s="3">
        <v>7.5685672759999996</v>
      </c>
    </row>
    <row r="33" spans="3:26" x14ac:dyDescent="0.25">
      <c r="C33" s="3">
        <v>7.4645452499999996</v>
      </c>
      <c r="D33" s="3">
        <v>7.4249162670000004</v>
      </c>
      <c r="E33" s="3">
        <v>7.384023666</v>
      </c>
      <c r="F33" s="3">
        <v>7.3442368509999998</v>
      </c>
      <c r="G33" s="3">
        <v>7.3069014550000002</v>
      </c>
      <c r="H33" s="3">
        <v>7.265956879</v>
      </c>
      <c r="I33" s="3">
        <v>7.1980605129999997</v>
      </c>
      <c r="J33" s="3">
        <v>7.0986390110000004</v>
      </c>
      <c r="K33" s="3">
        <v>6.9883794779999997</v>
      </c>
      <c r="L33" s="3">
        <v>6.8816752430000001</v>
      </c>
      <c r="M33" s="3">
        <v>6.7958488460000002</v>
      </c>
      <c r="N33" s="3">
        <v>6.7472496030000002</v>
      </c>
      <c r="O33" s="3">
        <v>6.7609391209999998</v>
      </c>
      <c r="P33" s="3">
        <v>6.837860107</v>
      </c>
      <c r="Q33" s="3">
        <v>6.9396586420000004</v>
      </c>
      <c r="R33" s="3">
        <v>7.0461530689999998</v>
      </c>
      <c r="S33" s="3">
        <v>7.1443328859999999</v>
      </c>
      <c r="T33" s="3">
        <v>7.225820541</v>
      </c>
      <c r="U33" s="3">
        <v>7.2864089009999997</v>
      </c>
      <c r="V33" s="3">
        <v>7.3280229569999999</v>
      </c>
      <c r="W33" s="3">
        <v>7.3656272889999999</v>
      </c>
      <c r="X33" s="3">
        <v>7.4050464629999997</v>
      </c>
      <c r="Y33" s="3">
        <v>7.4450001720000003</v>
      </c>
      <c r="Z33" s="3">
        <v>7.4800386430000003</v>
      </c>
    </row>
    <row r="34" spans="3:26" x14ac:dyDescent="0.25">
      <c r="C34" s="3">
        <v>7.3765873910000002</v>
      </c>
      <c r="D34" s="3">
        <v>7.3367528919999998</v>
      </c>
      <c r="E34" s="3">
        <v>7.2958126070000002</v>
      </c>
      <c r="F34" s="3">
        <v>7.2559113499999999</v>
      </c>
      <c r="G34" s="3">
        <v>7.218514442</v>
      </c>
      <c r="H34" s="3">
        <v>7.1785058980000001</v>
      </c>
      <c r="I34" s="3">
        <v>7.1109247209999999</v>
      </c>
      <c r="J34" s="3">
        <v>7.010696888</v>
      </c>
      <c r="K34" s="3">
        <v>6.9003238680000001</v>
      </c>
      <c r="L34" s="3">
        <v>6.7933740619999998</v>
      </c>
      <c r="M34" s="3">
        <v>6.7074294090000004</v>
      </c>
      <c r="N34" s="3">
        <v>6.6580600739999998</v>
      </c>
      <c r="O34" s="3">
        <v>6.6712980269999997</v>
      </c>
      <c r="P34" s="3">
        <v>6.749762058</v>
      </c>
      <c r="Q34" s="3">
        <v>6.8518023489999997</v>
      </c>
      <c r="R34" s="3">
        <v>6.9583311080000003</v>
      </c>
      <c r="S34" s="3">
        <v>7.0566186899999996</v>
      </c>
      <c r="T34" s="3">
        <v>7.1380991939999996</v>
      </c>
      <c r="U34" s="3">
        <v>7.1988286969999997</v>
      </c>
      <c r="V34" s="3">
        <v>7.2398262019999997</v>
      </c>
      <c r="W34" s="3">
        <v>7.2773027419999998</v>
      </c>
      <c r="X34" s="3">
        <v>7.3168878560000001</v>
      </c>
      <c r="Y34" s="3">
        <v>7.3568840030000002</v>
      </c>
      <c r="Z34" s="3">
        <v>7.392418385</v>
      </c>
    </row>
    <row r="35" spans="3:26" x14ac:dyDescent="0.25">
      <c r="C35" s="3">
        <v>7.2883472439999997</v>
      </c>
      <c r="D35" s="3">
        <v>7.2487068179999996</v>
      </c>
      <c r="E35" s="3">
        <v>7.2078442569999996</v>
      </c>
      <c r="F35" s="3">
        <v>7.1680622100000004</v>
      </c>
      <c r="G35" s="3">
        <v>7.1307401659999998</v>
      </c>
      <c r="H35" s="3">
        <v>7.0898146630000003</v>
      </c>
      <c r="I35" s="3">
        <v>7.0219144819999997</v>
      </c>
      <c r="J35" s="3">
        <v>6.9224882130000003</v>
      </c>
      <c r="K35" s="3">
        <v>6.8121585849999997</v>
      </c>
      <c r="L35" s="3">
        <v>6.7054204940000002</v>
      </c>
      <c r="M35" s="3">
        <v>6.6195983890000001</v>
      </c>
      <c r="N35" s="3">
        <v>6.5709853169999999</v>
      </c>
      <c r="O35" s="3">
        <v>6.5846691130000004</v>
      </c>
      <c r="P35" s="3">
        <v>6.6616139409999997</v>
      </c>
      <c r="Q35" s="3">
        <v>6.7634840010000001</v>
      </c>
      <c r="R35" s="3">
        <v>6.8700065610000003</v>
      </c>
      <c r="S35" s="3">
        <v>6.9681787489999998</v>
      </c>
      <c r="T35" s="3">
        <v>7.0496659279999996</v>
      </c>
      <c r="U35" s="3">
        <v>7.1103100780000004</v>
      </c>
      <c r="V35" s="3">
        <v>7.1519227030000003</v>
      </c>
      <c r="W35" s="3">
        <v>7.1894903179999998</v>
      </c>
      <c r="X35" s="3">
        <v>7.2289276119999997</v>
      </c>
      <c r="Y35" s="3">
        <v>7.2688493730000001</v>
      </c>
      <c r="Z35" s="3">
        <v>7.3039131160000004</v>
      </c>
    </row>
    <row r="36" spans="3:26" x14ac:dyDescent="0.25">
      <c r="C36" s="3">
        <v>7.2003874779999997</v>
      </c>
      <c r="D36" s="3">
        <v>7.1605491639999999</v>
      </c>
      <c r="E36" s="3">
        <v>7.1196293830000004</v>
      </c>
      <c r="F36" s="3">
        <v>7.0797309879999997</v>
      </c>
      <c r="G36" s="3">
        <v>7.0423431399999998</v>
      </c>
      <c r="H36" s="3">
        <v>7.002317905</v>
      </c>
      <c r="I36" s="3">
        <v>6.9347548479999999</v>
      </c>
      <c r="J36" s="3">
        <v>6.8345279689999998</v>
      </c>
      <c r="K36" s="3">
        <v>6.7241315840000002</v>
      </c>
      <c r="L36" s="3">
        <v>6.617175102</v>
      </c>
      <c r="M36" s="3">
        <v>6.5312056539999999</v>
      </c>
      <c r="N36" s="3">
        <v>6.4818348879999999</v>
      </c>
      <c r="O36" s="3">
        <v>6.4950838089999996</v>
      </c>
      <c r="P36" s="3">
        <v>6.5735454559999997</v>
      </c>
      <c r="Q36" s="3">
        <v>6.6756258009999998</v>
      </c>
      <c r="R36" s="3">
        <v>6.7821626659999996</v>
      </c>
      <c r="S36" s="3">
        <v>6.8804383280000003</v>
      </c>
      <c r="T36" s="3">
        <v>6.9619269370000003</v>
      </c>
      <c r="U36" s="3">
        <v>7.0226764680000002</v>
      </c>
      <c r="V36" s="3">
        <v>7.0637183190000004</v>
      </c>
      <c r="W36" s="3">
        <v>7.101191998</v>
      </c>
      <c r="X36" s="3">
        <v>7.1407403949999999</v>
      </c>
      <c r="Y36" s="3">
        <v>7.1807017330000003</v>
      </c>
      <c r="Z36" s="3">
        <v>7.2162537569999996</v>
      </c>
    </row>
    <row r="37" spans="3:26" x14ac:dyDescent="0.25">
      <c r="C37" s="3">
        <v>7.1121644970000002</v>
      </c>
      <c r="D37" s="3">
        <v>7.0725059510000001</v>
      </c>
      <c r="E37" s="3">
        <v>7.0316581730000003</v>
      </c>
      <c r="F37" s="3">
        <v>6.991873741</v>
      </c>
      <c r="G37" s="3">
        <v>6.9545521739999998</v>
      </c>
      <c r="H37" s="3">
        <v>6.9136290550000004</v>
      </c>
      <c r="I37" s="3">
        <v>6.8457126620000004</v>
      </c>
      <c r="J37" s="3">
        <v>6.7462849619999998</v>
      </c>
      <c r="K37" s="3">
        <v>6.6359553340000001</v>
      </c>
      <c r="L37" s="3">
        <v>6.5291991229999997</v>
      </c>
      <c r="M37" s="3">
        <v>6.4433879850000002</v>
      </c>
      <c r="N37" s="3">
        <v>6.394766808</v>
      </c>
      <c r="O37" s="3">
        <v>6.4084496499999997</v>
      </c>
      <c r="P37" s="3">
        <v>6.4854230880000001</v>
      </c>
      <c r="Q37" s="3">
        <v>6.5872898099999997</v>
      </c>
      <c r="R37" s="3">
        <v>6.6938123699999998</v>
      </c>
      <c r="S37" s="3">
        <v>6.7919764520000001</v>
      </c>
      <c r="T37" s="3">
        <v>6.8734769819999997</v>
      </c>
      <c r="U37" s="3">
        <v>6.9341425900000004</v>
      </c>
      <c r="V37" s="3">
        <v>6.9757871629999997</v>
      </c>
      <c r="W37" s="3">
        <v>7.0133595470000003</v>
      </c>
      <c r="X37" s="3">
        <v>7.0527634619999997</v>
      </c>
      <c r="Y37" s="3">
        <v>7.0926556590000001</v>
      </c>
      <c r="Z37" s="3">
        <v>7.1277647020000003</v>
      </c>
    </row>
    <row r="38" spans="3:26" x14ac:dyDescent="0.25">
      <c r="C38" s="3">
        <v>7.0241889950000003</v>
      </c>
      <c r="D38" s="3">
        <v>6.9843506809999996</v>
      </c>
      <c r="E38" s="3">
        <v>6.9434461589999996</v>
      </c>
      <c r="F38" s="3">
        <v>6.9035477639999998</v>
      </c>
      <c r="G38" s="3">
        <v>6.8661541939999999</v>
      </c>
      <c r="H38" s="3">
        <v>6.8261260989999997</v>
      </c>
      <c r="I38" s="3">
        <v>6.7585382459999996</v>
      </c>
      <c r="J38" s="3">
        <v>6.6583075520000001</v>
      </c>
      <c r="K38" s="3">
        <v>6.547924042</v>
      </c>
      <c r="L38" s="3">
        <v>6.4409141539999997</v>
      </c>
      <c r="M38" s="3">
        <v>6.3549451829999999</v>
      </c>
      <c r="N38" s="3">
        <v>6.3055753709999998</v>
      </c>
      <c r="O38" s="3">
        <v>6.318835258</v>
      </c>
      <c r="P38" s="3">
        <v>6.3973402979999996</v>
      </c>
      <c r="Q38" s="3">
        <v>6.4994130129999999</v>
      </c>
      <c r="R38" s="3">
        <v>6.6059708600000002</v>
      </c>
      <c r="S38" s="3">
        <v>6.7042384149999998</v>
      </c>
      <c r="T38" s="3">
        <v>6.7857255939999996</v>
      </c>
      <c r="U38" s="3">
        <v>6.8464980129999997</v>
      </c>
      <c r="V38" s="3">
        <v>6.8875498769999997</v>
      </c>
      <c r="W38" s="3">
        <v>6.9250249860000004</v>
      </c>
      <c r="X38" s="3">
        <v>6.9645667080000004</v>
      </c>
      <c r="Y38" s="3">
        <v>7.0045108799999998</v>
      </c>
      <c r="Z38" s="3">
        <v>7.040111542</v>
      </c>
    </row>
    <row r="39" spans="3:26" x14ac:dyDescent="0.25">
      <c r="C39" s="3">
        <v>6.9359679219999997</v>
      </c>
      <c r="D39" s="3">
        <v>6.8963041309999999</v>
      </c>
      <c r="E39" s="3">
        <v>6.8554768560000001</v>
      </c>
      <c r="F39" s="3">
        <v>6.8156905170000002</v>
      </c>
      <c r="G39" s="3">
        <v>6.7783546450000003</v>
      </c>
      <c r="H39" s="3">
        <v>6.7374134059999999</v>
      </c>
      <c r="I39" s="3">
        <v>6.6694908140000004</v>
      </c>
      <c r="J39" s="3">
        <v>6.5700550079999998</v>
      </c>
      <c r="K39" s="3">
        <v>6.4597215649999997</v>
      </c>
      <c r="L39" s="3">
        <v>6.3529405590000003</v>
      </c>
      <c r="M39" s="3">
        <v>6.2671160700000001</v>
      </c>
      <c r="N39" s="3">
        <v>6.2184963230000001</v>
      </c>
      <c r="O39" s="3">
        <v>6.232192993</v>
      </c>
      <c r="P39" s="3">
        <v>6.309202194</v>
      </c>
      <c r="Q39" s="3">
        <v>6.4110980030000002</v>
      </c>
      <c r="R39" s="3">
        <v>6.5176181790000003</v>
      </c>
      <c r="S39" s="3">
        <v>6.6157879829999997</v>
      </c>
      <c r="T39" s="3">
        <v>6.6972866059999996</v>
      </c>
      <c r="U39" s="3">
        <v>6.7579565050000001</v>
      </c>
      <c r="V39" s="3">
        <v>6.7996020320000001</v>
      </c>
      <c r="W39" s="3">
        <v>6.8371729849999996</v>
      </c>
      <c r="X39" s="3">
        <v>6.8765773770000003</v>
      </c>
      <c r="Y39" s="3">
        <v>6.916458607</v>
      </c>
      <c r="Z39" s="3">
        <v>6.9516215319999999</v>
      </c>
    </row>
    <row r="40" spans="3:26" x14ac:dyDescent="0.25">
      <c r="C40" s="3">
        <v>6.8479905130000001</v>
      </c>
      <c r="D40" s="3">
        <v>6.8081464770000002</v>
      </c>
      <c r="E40" s="3">
        <v>6.7672624590000003</v>
      </c>
      <c r="F40" s="3">
        <v>6.7273654939999998</v>
      </c>
      <c r="G40" s="3">
        <v>6.6899428370000003</v>
      </c>
      <c r="H40" s="3">
        <v>6.6498737339999998</v>
      </c>
      <c r="I40" s="3">
        <v>6.5822644229999998</v>
      </c>
      <c r="J40" s="3">
        <v>6.4820346830000002</v>
      </c>
      <c r="K40" s="3">
        <v>6.3716564179999997</v>
      </c>
      <c r="L40" s="3">
        <v>6.2646875380000004</v>
      </c>
      <c r="M40" s="3">
        <v>6.1787238120000003</v>
      </c>
      <c r="N40" s="3">
        <v>6.129358292</v>
      </c>
      <c r="O40" s="3">
        <v>6.1426300999999999</v>
      </c>
      <c r="P40" s="3">
        <v>6.2211303710000001</v>
      </c>
      <c r="Q40" s="3">
        <v>6.3232293129999997</v>
      </c>
      <c r="R40" s="3">
        <v>6.429765701</v>
      </c>
      <c r="S40" s="3">
        <v>6.5280451770000001</v>
      </c>
      <c r="T40" s="3">
        <v>6.6095247270000002</v>
      </c>
      <c r="U40" s="3">
        <v>6.6703081129999999</v>
      </c>
      <c r="V40" s="3">
        <v>6.7113561629999996</v>
      </c>
      <c r="W40" s="3">
        <v>6.7488427160000004</v>
      </c>
      <c r="X40" s="3">
        <v>6.7883849139999999</v>
      </c>
      <c r="Y40" s="3">
        <v>6.8283162119999998</v>
      </c>
      <c r="Z40" s="3">
        <v>6.863965511</v>
      </c>
    </row>
    <row r="41" spans="3:26" x14ac:dyDescent="0.25">
      <c r="C41" s="3">
        <v>6.7597680090000001</v>
      </c>
      <c r="D41" s="3">
        <v>6.7200951580000003</v>
      </c>
      <c r="E41" s="3">
        <v>6.6792922020000001</v>
      </c>
      <c r="F41" s="3">
        <v>6.6395049100000003</v>
      </c>
      <c r="G41" s="3">
        <v>6.6021537779999999</v>
      </c>
      <c r="H41" s="3">
        <v>6.5611815450000002</v>
      </c>
      <c r="I41" s="3">
        <v>6.4932389260000001</v>
      </c>
      <c r="J41" s="3">
        <v>6.3938012119999996</v>
      </c>
      <c r="K41" s="3">
        <v>6.2834815979999998</v>
      </c>
      <c r="L41" s="3">
        <v>6.1767344470000003</v>
      </c>
      <c r="M41" s="3">
        <v>6.0909299849999998</v>
      </c>
      <c r="N41" s="3">
        <v>6.0423068999999998</v>
      </c>
      <c r="O41" s="3">
        <v>6.055992603</v>
      </c>
      <c r="P41" s="3">
        <v>6.1329951290000002</v>
      </c>
      <c r="Q41" s="3">
        <v>6.234881401</v>
      </c>
      <c r="R41" s="3">
        <v>6.3413987159999996</v>
      </c>
      <c r="S41" s="3">
        <v>6.4395694729999997</v>
      </c>
      <c r="T41" s="3">
        <v>6.5210695269999999</v>
      </c>
      <c r="U41" s="3">
        <v>6.5817589759999997</v>
      </c>
      <c r="V41" s="3">
        <v>6.6234302520000004</v>
      </c>
      <c r="W41" s="3">
        <v>6.6610202789999997</v>
      </c>
      <c r="X41" s="3">
        <v>6.7004284859999999</v>
      </c>
      <c r="Y41" s="3">
        <v>6.7402825359999996</v>
      </c>
      <c r="Z41" s="3">
        <v>6.7754945759999998</v>
      </c>
    </row>
    <row r="42" spans="3:26" x14ac:dyDescent="0.25">
      <c r="C42" s="3">
        <v>6.6717858310000002</v>
      </c>
      <c r="D42" s="3">
        <v>6.6319370270000002</v>
      </c>
      <c r="E42" s="3">
        <v>6.5910792349999996</v>
      </c>
      <c r="F42" s="3">
        <v>6.55118227</v>
      </c>
      <c r="G42" s="3">
        <v>6.5137519839999998</v>
      </c>
      <c r="H42" s="3">
        <v>6.4736704830000003</v>
      </c>
      <c r="I42" s="3">
        <v>6.4060530660000001</v>
      </c>
      <c r="J42" s="3">
        <v>6.3058247569999999</v>
      </c>
      <c r="K42" s="3">
        <v>6.1954555510000002</v>
      </c>
      <c r="L42" s="3">
        <v>6.088496685</v>
      </c>
      <c r="M42" s="3">
        <v>6.0025424960000002</v>
      </c>
      <c r="N42" s="3">
        <v>5.9531831740000003</v>
      </c>
      <c r="O42" s="3">
        <v>5.9664363859999998</v>
      </c>
      <c r="P42" s="3">
        <v>6.0448899269999998</v>
      </c>
      <c r="Q42" s="3">
        <v>6.1469640730000004</v>
      </c>
      <c r="R42" s="3">
        <v>6.2534999850000004</v>
      </c>
      <c r="S42" s="3">
        <v>6.3517756460000001</v>
      </c>
      <c r="T42" s="3">
        <v>6.4332609180000002</v>
      </c>
      <c r="U42" s="3">
        <v>6.4940738680000001</v>
      </c>
      <c r="V42" s="3">
        <v>6.5352077480000004</v>
      </c>
      <c r="W42" s="3">
        <v>6.5727405550000002</v>
      </c>
      <c r="X42" s="3">
        <v>6.6122813220000003</v>
      </c>
      <c r="Y42" s="3">
        <v>6.6521744729999996</v>
      </c>
      <c r="Z42" s="3">
        <v>6.6878361699999997</v>
      </c>
    </row>
    <row r="43" spans="3:26" x14ac:dyDescent="0.25">
      <c r="C43" s="3">
        <v>6.5835642810000001</v>
      </c>
      <c r="D43" s="3">
        <v>6.5438804629999998</v>
      </c>
      <c r="E43" s="3">
        <v>6.5031065940000001</v>
      </c>
      <c r="F43" s="3">
        <v>6.4633197779999998</v>
      </c>
      <c r="G43" s="3">
        <v>6.4259672160000001</v>
      </c>
      <c r="H43" s="3">
        <v>6.385001183</v>
      </c>
      <c r="I43" s="3">
        <v>6.3170595169999997</v>
      </c>
      <c r="J43" s="3">
        <v>6.2176165579999996</v>
      </c>
      <c r="K43" s="3">
        <v>6.1072993279999999</v>
      </c>
      <c r="L43" s="3">
        <v>6.0005512239999996</v>
      </c>
      <c r="M43" s="3">
        <v>5.9147477149999999</v>
      </c>
      <c r="N43" s="3">
        <v>5.8661179539999999</v>
      </c>
      <c r="O43" s="3">
        <v>5.8797864909999999</v>
      </c>
      <c r="P43" s="3">
        <v>5.9567604059999999</v>
      </c>
      <c r="Q43" s="3">
        <v>6.0586280820000002</v>
      </c>
      <c r="R43" s="3">
        <v>6.1651439669999997</v>
      </c>
      <c r="S43" s="3">
        <v>6.2633142470000003</v>
      </c>
      <c r="T43" s="3">
        <v>6.3448162080000001</v>
      </c>
      <c r="U43" s="3">
        <v>6.4055366520000003</v>
      </c>
      <c r="V43" s="3">
        <v>6.447274685</v>
      </c>
      <c r="W43" s="3">
        <v>6.484905243</v>
      </c>
      <c r="X43" s="3">
        <v>6.5243163109999998</v>
      </c>
      <c r="Y43" s="3">
        <v>6.5641298289999996</v>
      </c>
      <c r="Z43" s="3">
        <v>6.599382877</v>
      </c>
    </row>
    <row r="44" spans="3:26" x14ac:dyDescent="0.25">
      <c r="C44" s="3">
        <v>6.4955792429999999</v>
      </c>
      <c r="D44" s="3">
        <v>6.4557232859999996</v>
      </c>
      <c r="E44" s="3">
        <v>6.4148955350000003</v>
      </c>
      <c r="F44" s="3">
        <v>6.375</v>
      </c>
      <c r="G44" s="3">
        <v>6.3375697139999998</v>
      </c>
      <c r="H44" s="3">
        <v>6.2974839210000004</v>
      </c>
      <c r="I44" s="3">
        <v>6.2298665050000004</v>
      </c>
      <c r="J44" s="3">
        <v>6.1296410559999996</v>
      </c>
      <c r="K44" s="3">
        <v>6.0192718510000001</v>
      </c>
      <c r="L44" s="3">
        <v>5.912314415</v>
      </c>
      <c r="M44" s="3">
        <v>5.8263611790000001</v>
      </c>
      <c r="N44" s="3">
        <v>5.7770042420000003</v>
      </c>
      <c r="O44" s="3">
        <v>5.7902512550000003</v>
      </c>
      <c r="P44" s="3">
        <v>5.8686900140000002</v>
      </c>
      <c r="Q44" s="3">
        <v>5.9707555770000003</v>
      </c>
      <c r="R44" s="3">
        <v>6.0772895809999996</v>
      </c>
      <c r="S44" s="3">
        <v>6.1755647659999999</v>
      </c>
      <c r="T44" s="3">
        <v>6.2570509909999998</v>
      </c>
      <c r="U44" s="3">
        <v>6.3178792000000001</v>
      </c>
      <c r="V44" s="3">
        <v>6.3590307240000001</v>
      </c>
      <c r="W44" s="3">
        <v>6.3965802189999996</v>
      </c>
      <c r="X44" s="3">
        <v>6.4361252779999996</v>
      </c>
      <c r="Y44" s="3">
        <v>6.475986958</v>
      </c>
      <c r="Z44" s="3">
        <v>6.5117182729999996</v>
      </c>
    </row>
    <row r="45" spans="3:26" x14ac:dyDescent="0.25">
      <c r="C45" s="3">
        <v>6.4073572160000003</v>
      </c>
      <c r="D45" s="3">
        <v>6.3676600460000001</v>
      </c>
      <c r="E45" s="3">
        <v>6.3269233700000003</v>
      </c>
      <c r="F45" s="3">
        <v>6.2871336940000004</v>
      </c>
      <c r="G45" s="3">
        <v>6.249782562</v>
      </c>
      <c r="H45" s="3">
        <v>6.2088212970000001</v>
      </c>
      <c r="I45" s="3">
        <v>6.1408820149999999</v>
      </c>
      <c r="J45" s="3">
        <v>6.0414342879999996</v>
      </c>
      <c r="K45" s="3">
        <v>5.9311170579999999</v>
      </c>
      <c r="L45" s="3">
        <v>5.8243684770000002</v>
      </c>
      <c r="M45" s="3">
        <v>5.7385630609999998</v>
      </c>
      <c r="N45" s="3">
        <v>5.6899318699999997</v>
      </c>
      <c r="O45" s="3">
        <v>5.7035975460000001</v>
      </c>
      <c r="P45" s="3">
        <v>5.7805781359999999</v>
      </c>
      <c r="Q45" s="3">
        <v>5.8824448589999996</v>
      </c>
      <c r="R45" s="3">
        <v>5.9889616969999997</v>
      </c>
      <c r="S45" s="3">
        <v>6.0871314999999999</v>
      </c>
      <c r="T45" s="3">
        <v>6.1686329840000003</v>
      </c>
      <c r="U45" s="3">
        <v>6.2293534279999996</v>
      </c>
      <c r="V45" s="3">
        <v>6.2710876459999998</v>
      </c>
      <c r="W45" s="3">
        <v>6.3087310790000002</v>
      </c>
      <c r="X45" s="3">
        <v>6.348150253</v>
      </c>
      <c r="Y45" s="3">
        <v>6.3879218099999999</v>
      </c>
      <c r="Z45" s="3">
        <v>6.4232769010000004</v>
      </c>
    </row>
    <row r="46" spans="3:26" x14ac:dyDescent="0.25">
      <c r="C46" s="3">
        <v>6.3193683619999996</v>
      </c>
      <c r="D46" s="3">
        <v>6.2795023920000004</v>
      </c>
      <c r="E46" s="3">
        <v>6.2387108800000002</v>
      </c>
      <c r="F46" s="3">
        <v>6.1988162989999998</v>
      </c>
      <c r="G46" s="3">
        <v>6.1613850589999997</v>
      </c>
      <c r="H46" s="3">
        <v>6.1212949749999996</v>
      </c>
      <c r="I46" s="3">
        <v>6.053678036</v>
      </c>
      <c r="J46" s="3">
        <v>5.953456879</v>
      </c>
      <c r="K46" s="3">
        <v>5.8430881499999998</v>
      </c>
      <c r="L46" s="3">
        <v>5.7361316679999996</v>
      </c>
      <c r="M46" s="3">
        <v>5.650176525</v>
      </c>
      <c r="N46" s="3">
        <v>5.6008214949999999</v>
      </c>
      <c r="O46" s="3">
        <v>5.6140747070000003</v>
      </c>
      <c r="P46" s="3">
        <v>5.6925053600000002</v>
      </c>
      <c r="Q46" s="3">
        <v>5.7945737839999998</v>
      </c>
      <c r="R46" s="3">
        <v>5.9011092190000003</v>
      </c>
      <c r="S46" s="3">
        <v>5.9993815420000001</v>
      </c>
      <c r="T46" s="3">
        <v>6.0808658600000003</v>
      </c>
      <c r="U46" s="3">
        <v>6.1416916849999996</v>
      </c>
      <c r="V46" s="3">
        <v>6.182846069</v>
      </c>
      <c r="W46" s="3">
        <v>6.220405102</v>
      </c>
      <c r="X46" s="3">
        <v>6.2599554059999996</v>
      </c>
      <c r="Y46" s="3">
        <v>6.2997832300000001</v>
      </c>
      <c r="Z46" s="3">
        <v>6.3356122969999999</v>
      </c>
    </row>
    <row r="47" spans="3:26" x14ac:dyDescent="0.25">
      <c r="C47" s="3">
        <v>6.2311482429999998</v>
      </c>
      <c r="D47" s="3">
        <v>6.1914343829999998</v>
      </c>
      <c r="E47" s="3">
        <v>6.1507387160000002</v>
      </c>
      <c r="F47" s="3">
        <v>6.1109490390000003</v>
      </c>
      <c r="G47" s="3">
        <v>6.0735893250000004</v>
      </c>
      <c r="H47" s="3">
        <v>6.0326175690000001</v>
      </c>
      <c r="I47" s="3">
        <v>5.964678288</v>
      </c>
      <c r="J47" s="3">
        <v>5.8652391430000002</v>
      </c>
      <c r="K47" s="3">
        <v>5.7549223899999999</v>
      </c>
      <c r="L47" s="3">
        <v>5.6481614110000002</v>
      </c>
      <c r="M47" s="3">
        <v>5.5623445509999998</v>
      </c>
      <c r="N47" s="3">
        <v>5.513708115</v>
      </c>
      <c r="O47" s="3">
        <v>5.5273804660000003</v>
      </c>
      <c r="P47" s="3">
        <v>5.6043839450000004</v>
      </c>
      <c r="Q47" s="3">
        <v>5.7062644960000002</v>
      </c>
      <c r="R47" s="3">
        <v>5.8127827639999996</v>
      </c>
      <c r="S47" s="3">
        <v>5.9109520910000004</v>
      </c>
      <c r="T47" s="3">
        <v>5.992452621</v>
      </c>
      <c r="U47" s="3">
        <v>6.0531725879999998</v>
      </c>
      <c r="V47" s="3">
        <v>6.0949039459999996</v>
      </c>
      <c r="W47" s="3">
        <v>6.1325502399999996</v>
      </c>
      <c r="X47" s="3">
        <v>6.1719770430000001</v>
      </c>
      <c r="Y47" s="3">
        <v>6.2117347719999998</v>
      </c>
      <c r="Z47" s="3">
        <v>6.2472052570000001</v>
      </c>
    </row>
    <row r="48" spans="3:26" x14ac:dyDescent="0.25">
      <c r="C48" s="3">
        <v>6.1431531909999997</v>
      </c>
      <c r="D48" s="3">
        <v>6.1032781600000003</v>
      </c>
      <c r="E48" s="3">
        <v>6.0625267029999996</v>
      </c>
      <c r="F48" s="3">
        <v>6.0226325989999996</v>
      </c>
      <c r="G48" s="3">
        <v>5.9851837159999999</v>
      </c>
      <c r="H48" s="3">
        <v>5.9450507159999999</v>
      </c>
      <c r="I48" s="3">
        <v>5.8774261470000004</v>
      </c>
      <c r="J48" s="3">
        <v>5.777247429</v>
      </c>
      <c r="K48" s="3">
        <v>5.6668853759999998</v>
      </c>
      <c r="L48" s="3">
        <v>5.5598902700000004</v>
      </c>
      <c r="M48" s="3">
        <v>5.47391367</v>
      </c>
      <c r="N48" s="3">
        <v>5.424563408</v>
      </c>
      <c r="O48" s="3">
        <v>5.4378328319999998</v>
      </c>
      <c r="P48" s="3">
        <v>5.5162992480000002</v>
      </c>
      <c r="Q48" s="3">
        <v>5.618387222</v>
      </c>
      <c r="R48" s="3">
        <v>5.724923134</v>
      </c>
      <c r="S48" s="3">
        <v>5.8231940270000004</v>
      </c>
      <c r="T48" s="3">
        <v>5.9046778680000003</v>
      </c>
      <c r="U48" s="3">
        <v>5.9655056000000002</v>
      </c>
      <c r="V48" s="3">
        <v>6.0066609379999996</v>
      </c>
      <c r="W48" s="3">
        <v>6.0442357060000003</v>
      </c>
      <c r="X48" s="3">
        <v>6.0838212970000001</v>
      </c>
      <c r="Y48" s="3">
        <v>6.123631477</v>
      </c>
      <c r="Z48" s="3">
        <v>6.159544468</v>
      </c>
    </row>
    <row r="49" spans="3:26" x14ac:dyDescent="0.25">
      <c r="C49" s="3">
        <v>6.0549335480000002</v>
      </c>
      <c r="D49" s="3">
        <v>6.015200138</v>
      </c>
      <c r="E49" s="3">
        <v>5.9745440480000003</v>
      </c>
      <c r="F49" s="3">
        <v>5.9347395900000004</v>
      </c>
      <c r="G49" s="3">
        <v>5.8973622319999999</v>
      </c>
      <c r="H49" s="3">
        <v>5.8563733100000004</v>
      </c>
      <c r="I49" s="3">
        <v>5.7884330750000004</v>
      </c>
      <c r="J49" s="3">
        <v>5.689010143</v>
      </c>
      <c r="K49" s="3">
        <v>5.5786981579999999</v>
      </c>
      <c r="L49" s="3">
        <v>5.471914291</v>
      </c>
      <c r="M49" s="3">
        <v>5.3860864639999999</v>
      </c>
      <c r="N49" s="3">
        <v>5.3374462129999998</v>
      </c>
      <c r="O49" s="3">
        <v>5.3511242870000002</v>
      </c>
      <c r="P49" s="3">
        <v>5.4281554219999997</v>
      </c>
      <c r="Q49" s="3">
        <v>5.5300464629999997</v>
      </c>
      <c r="R49" s="3">
        <v>5.6365642549999997</v>
      </c>
      <c r="S49" s="3">
        <v>5.7347326279999997</v>
      </c>
      <c r="T49" s="3">
        <v>5.8162341120000001</v>
      </c>
      <c r="U49" s="3">
        <v>5.8769645690000001</v>
      </c>
      <c r="V49" s="3">
        <v>5.9187083239999998</v>
      </c>
      <c r="W49" s="3">
        <v>5.9563837050000004</v>
      </c>
      <c r="X49" s="3">
        <v>5.9958457950000001</v>
      </c>
      <c r="Y49" s="3">
        <v>6.0355710980000001</v>
      </c>
      <c r="Z49" s="3">
        <v>6.0711760520000002</v>
      </c>
    </row>
    <row r="50" spans="3:26" x14ac:dyDescent="0.25">
      <c r="C50" s="3">
        <v>5.9669322969999996</v>
      </c>
      <c r="D50" s="3">
        <v>5.9270434380000001</v>
      </c>
      <c r="E50" s="3">
        <v>5.8863263129999996</v>
      </c>
      <c r="F50" s="3">
        <v>5.8463921550000002</v>
      </c>
      <c r="G50" s="3">
        <v>5.8089308739999996</v>
      </c>
      <c r="H50" s="3">
        <v>5.7688250539999997</v>
      </c>
      <c r="I50" s="3">
        <v>5.7012042999999997</v>
      </c>
      <c r="J50" s="3">
        <v>5.6009974480000002</v>
      </c>
      <c r="K50" s="3">
        <v>5.4906291960000004</v>
      </c>
      <c r="L50" s="3">
        <v>5.3836674689999997</v>
      </c>
      <c r="M50" s="3">
        <v>5.2977080350000003</v>
      </c>
      <c r="N50" s="3">
        <v>5.248360634</v>
      </c>
      <c r="O50" s="3">
        <v>5.2616205220000003</v>
      </c>
      <c r="P50" s="3">
        <v>5.3400502200000002</v>
      </c>
      <c r="Q50" s="3">
        <v>5.4421215060000003</v>
      </c>
      <c r="R50" s="3">
        <v>5.5486578939999998</v>
      </c>
      <c r="S50" s="3">
        <v>5.646927357</v>
      </c>
      <c r="T50" s="3">
        <v>5.7284126280000001</v>
      </c>
      <c r="U50" s="3">
        <v>5.7892537119999998</v>
      </c>
      <c r="V50" s="3">
        <v>5.8304538729999997</v>
      </c>
      <c r="W50" s="3">
        <v>5.8680596349999998</v>
      </c>
      <c r="X50" s="3">
        <v>5.9076552390000003</v>
      </c>
      <c r="Y50" s="3">
        <v>5.9474372860000004</v>
      </c>
      <c r="Z50" s="3">
        <v>5.9835138319999999</v>
      </c>
    </row>
    <row r="51" spans="3:26" x14ac:dyDescent="0.25">
      <c r="C51" s="3">
        <v>5.8787117000000002</v>
      </c>
      <c r="D51" s="3">
        <v>5.8389549260000004</v>
      </c>
      <c r="E51" s="3">
        <v>5.7983441349999998</v>
      </c>
      <c r="F51" s="3">
        <v>5.758505821</v>
      </c>
      <c r="G51" s="3">
        <v>5.721122265</v>
      </c>
      <c r="H51" s="3">
        <v>5.6801695820000004</v>
      </c>
      <c r="I51" s="3">
        <v>5.612235546</v>
      </c>
      <c r="J51" s="3">
        <v>5.5127778049999998</v>
      </c>
      <c r="K51" s="3">
        <v>5.4024596210000002</v>
      </c>
      <c r="L51" s="3">
        <v>5.2957091329999999</v>
      </c>
      <c r="M51" s="3">
        <v>5.2099003789999996</v>
      </c>
      <c r="N51" s="3">
        <v>5.1612577440000003</v>
      </c>
      <c r="O51" s="3">
        <v>5.1749162670000004</v>
      </c>
      <c r="P51" s="3">
        <v>5.2519221309999997</v>
      </c>
      <c r="Q51" s="3">
        <v>5.3537931439999999</v>
      </c>
      <c r="R51" s="3">
        <v>5.4603099820000001</v>
      </c>
      <c r="S51" s="3">
        <v>5.5584778789999998</v>
      </c>
      <c r="T51" s="3">
        <v>5.6399803159999999</v>
      </c>
      <c r="U51" s="3">
        <v>5.7007222180000001</v>
      </c>
      <c r="V51" s="3">
        <v>5.7424869540000003</v>
      </c>
      <c r="W51" s="3">
        <v>5.7801737790000001</v>
      </c>
      <c r="X51" s="3">
        <v>5.8196535110000003</v>
      </c>
      <c r="Y51" s="3">
        <v>5.8593554499999998</v>
      </c>
      <c r="Z51" s="3">
        <v>5.8951911929999996</v>
      </c>
    </row>
    <row r="52" spans="3:26" x14ac:dyDescent="0.25">
      <c r="C52" s="3">
        <v>5.7907023430000004</v>
      </c>
      <c r="D52" s="3">
        <v>5.7507958410000004</v>
      </c>
      <c r="E52" s="3">
        <v>5.7101354600000001</v>
      </c>
      <c r="F52" s="3">
        <v>5.6701936719999999</v>
      </c>
      <c r="G52" s="3">
        <v>5.6327319149999999</v>
      </c>
      <c r="H52" s="3">
        <v>5.5926280019999997</v>
      </c>
      <c r="I52" s="3">
        <v>5.525007725</v>
      </c>
      <c r="J52" s="3">
        <v>5.4247980120000001</v>
      </c>
      <c r="K52" s="3">
        <v>5.3144292829999999</v>
      </c>
      <c r="L52" s="3">
        <v>5.20747757</v>
      </c>
      <c r="M52" s="3">
        <v>5.121525288</v>
      </c>
      <c r="N52" s="3">
        <v>5.0721836089999996</v>
      </c>
      <c r="O52" s="3">
        <v>5.0854368210000001</v>
      </c>
      <c r="P52" s="3">
        <v>5.1638512609999996</v>
      </c>
      <c r="Q52" s="3">
        <v>5.2659130100000002</v>
      </c>
      <c r="R52" s="3">
        <v>5.3724470139999996</v>
      </c>
      <c r="S52" s="3">
        <v>5.4707183840000004</v>
      </c>
      <c r="T52" s="3">
        <v>5.5522027019999998</v>
      </c>
      <c r="U52" s="3">
        <v>5.6130371090000004</v>
      </c>
      <c r="V52" s="3">
        <v>5.6542110440000002</v>
      </c>
      <c r="W52" s="3">
        <v>5.69181633</v>
      </c>
      <c r="X52" s="3">
        <v>5.7314519879999999</v>
      </c>
      <c r="Y52" s="3">
        <v>5.7712244989999997</v>
      </c>
      <c r="Z52" s="3">
        <v>5.8075470920000001</v>
      </c>
    </row>
    <row r="53" spans="3:26" x14ac:dyDescent="0.25">
      <c r="C53" s="3">
        <v>5.7024803159999999</v>
      </c>
      <c r="D53" s="3">
        <v>5.6626977920000003</v>
      </c>
      <c r="E53" s="3">
        <v>5.6221580510000004</v>
      </c>
      <c r="F53" s="3">
        <v>5.5823197359999996</v>
      </c>
      <c r="G53" s="3">
        <v>5.544936657</v>
      </c>
      <c r="H53" s="3">
        <v>5.5039887429999999</v>
      </c>
      <c r="I53" s="3">
        <v>5.4360570910000003</v>
      </c>
      <c r="J53" s="3">
        <v>5.3365960120000002</v>
      </c>
      <c r="K53" s="3">
        <v>5.2262773510000002</v>
      </c>
      <c r="L53" s="3">
        <v>5.1195240020000004</v>
      </c>
      <c r="M53" s="3">
        <v>5.0337176320000001</v>
      </c>
      <c r="N53" s="3">
        <v>4.9850711820000004</v>
      </c>
      <c r="O53" s="3">
        <v>4.9987273219999997</v>
      </c>
      <c r="P53" s="3">
        <v>5.0757393840000002</v>
      </c>
      <c r="Q53" s="3">
        <v>5.177610874</v>
      </c>
      <c r="R53" s="3">
        <v>5.2841277120000001</v>
      </c>
      <c r="S53" s="3">
        <v>5.3822975160000004</v>
      </c>
      <c r="T53" s="3">
        <v>5.4637956619999999</v>
      </c>
      <c r="U53" s="3">
        <v>5.5245203969999999</v>
      </c>
      <c r="V53" s="3">
        <v>5.5662479400000002</v>
      </c>
      <c r="W53" s="3">
        <v>5.6039390559999998</v>
      </c>
      <c r="X53" s="3">
        <v>5.6434540750000002</v>
      </c>
      <c r="Y53" s="3">
        <v>5.6831383710000001</v>
      </c>
      <c r="Z53" s="3">
        <v>5.7193274499999998</v>
      </c>
    </row>
    <row r="54" spans="3:26" x14ac:dyDescent="0.25">
      <c r="C54" s="3">
        <v>5.6144618990000001</v>
      </c>
      <c r="D54" s="3">
        <v>5.5745344159999997</v>
      </c>
      <c r="E54" s="3">
        <v>5.5339503289999996</v>
      </c>
      <c r="F54" s="3">
        <v>5.4940090179999999</v>
      </c>
      <c r="G54" s="3">
        <v>5.4565501210000003</v>
      </c>
      <c r="H54" s="3">
        <v>5.4164428710000001</v>
      </c>
      <c r="I54" s="3">
        <v>5.3488221170000001</v>
      </c>
      <c r="J54" s="3">
        <v>5.2486143109999999</v>
      </c>
      <c r="K54" s="3">
        <v>5.138247013</v>
      </c>
      <c r="L54" s="3">
        <v>5.0312957760000003</v>
      </c>
      <c r="M54" s="3">
        <v>4.9453425409999996</v>
      </c>
      <c r="N54" s="3">
        <v>4.8960032460000003</v>
      </c>
      <c r="O54" s="3">
        <v>4.9092588419999998</v>
      </c>
      <c r="P54" s="3">
        <v>4.9876656529999996</v>
      </c>
      <c r="Q54" s="3">
        <v>5.0897297860000004</v>
      </c>
      <c r="R54" s="3">
        <v>5.1962647439999996</v>
      </c>
      <c r="S54" s="3">
        <v>5.2945346830000002</v>
      </c>
      <c r="T54" s="3">
        <v>5.3760175700000001</v>
      </c>
      <c r="U54" s="3">
        <v>5.4368410110000003</v>
      </c>
      <c r="V54" s="3">
        <v>5.4780073170000003</v>
      </c>
      <c r="W54" s="3">
        <v>5.5156183240000001</v>
      </c>
      <c r="X54" s="3">
        <v>5.555263042</v>
      </c>
      <c r="Y54" s="3">
        <v>5.5950117109999997</v>
      </c>
      <c r="Z54" s="3">
        <v>5.6316394809999997</v>
      </c>
    </row>
    <row r="55" spans="3:26" x14ac:dyDescent="0.25">
      <c r="C55" s="3">
        <v>5.5262370110000001</v>
      </c>
      <c r="D55" s="3">
        <v>5.486421108</v>
      </c>
      <c r="E55" s="3">
        <v>5.4459419249999996</v>
      </c>
      <c r="F55" s="3">
        <v>5.4061150549999999</v>
      </c>
      <c r="G55" s="3">
        <v>5.3687534330000002</v>
      </c>
      <c r="H55" s="3">
        <v>5.327808857</v>
      </c>
      <c r="I55" s="3">
        <v>5.2598791120000001</v>
      </c>
      <c r="J55" s="3">
        <v>5.1604156489999999</v>
      </c>
      <c r="K55" s="3">
        <v>5.0500965119999996</v>
      </c>
      <c r="L55" s="3">
        <v>4.9433417320000004</v>
      </c>
      <c r="M55" s="3">
        <v>4.8575191499999999</v>
      </c>
      <c r="N55" s="3">
        <v>4.8088593480000004</v>
      </c>
      <c r="O55" s="3">
        <v>4.8225116730000002</v>
      </c>
      <c r="P55" s="3">
        <v>4.899543285</v>
      </c>
      <c r="Q55" s="3">
        <v>5.0014266970000003</v>
      </c>
      <c r="R55" s="3">
        <v>5.1079454420000001</v>
      </c>
      <c r="S55" s="3">
        <v>5.2061195370000002</v>
      </c>
      <c r="T55" s="3">
        <v>5.2876200679999998</v>
      </c>
      <c r="U55" s="3">
        <v>5.3483362200000002</v>
      </c>
      <c r="V55" s="3">
        <v>5.3900642400000001</v>
      </c>
      <c r="W55" s="3">
        <v>5.427743435</v>
      </c>
      <c r="X55" s="3">
        <v>5.4672656059999998</v>
      </c>
      <c r="Y55" s="3">
        <v>5.5069408419999997</v>
      </c>
      <c r="Z55" s="3">
        <v>5.5432024000000002</v>
      </c>
    </row>
    <row r="56" spans="3:26" x14ac:dyDescent="0.25">
      <c r="C56" s="3">
        <v>5.4382047650000001</v>
      </c>
      <c r="D56" s="3">
        <v>5.3982524869999997</v>
      </c>
      <c r="E56" s="3">
        <v>5.3577375409999997</v>
      </c>
      <c r="F56" s="3">
        <v>5.3178033830000002</v>
      </c>
      <c r="G56" s="3">
        <v>5.2803654670000002</v>
      </c>
      <c r="H56" s="3">
        <v>5.2402534479999998</v>
      </c>
      <c r="I56" s="3">
        <v>5.1726331710000002</v>
      </c>
      <c r="J56" s="3">
        <v>5.0724287029999999</v>
      </c>
      <c r="K56" s="3">
        <v>4.9620618820000004</v>
      </c>
      <c r="L56" s="3">
        <v>4.8551101680000004</v>
      </c>
      <c r="M56" s="3">
        <v>4.7691421509999996</v>
      </c>
      <c r="N56" s="3">
        <v>4.7197661399999999</v>
      </c>
      <c r="O56" s="3">
        <v>4.733018875</v>
      </c>
      <c r="P56" s="3">
        <v>4.8114590640000001</v>
      </c>
      <c r="Q56" s="3">
        <v>4.9135456089999998</v>
      </c>
      <c r="R56" s="3">
        <v>5.0200810430000002</v>
      </c>
      <c r="S56" s="3">
        <v>5.1183519359999998</v>
      </c>
      <c r="T56" s="3">
        <v>5.1998357769999997</v>
      </c>
      <c r="U56" s="3">
        <v>5.2606534959999998</v>
      </c>
      <c r="V56" s="3">
        <v>5.30182457</v>
      </c>
      <c r="W56" s="3">
        <v>5.3394498830000003</v>
      </c>
      <c r="X56" s="3">
        <v>5.3791346549999997</v>
      </c>
      <c r="Y56" s="3">
        <v>5.4188752170000001</v>
      </c>
      <c r="Z56" s="3">
        <v>5.4554820060000004</v>
      </c>
    </row>
    <row r="57" spans="3:26" x14ac:dyDescent="0.25">
      <c r="C57" s="3">
        <v>5.3499779700000003</v>
      </c>
      <c r="D57" s="3">
        <v>5.3101191520000004</v>
      </c>
      <c r="E57" s="3">
        <v>5.2697095870000004</v>
      </c>
      <c r="F57" s="3">
        <v>5.22988081</v>
      </c>
      <c r="G57" s="3">
        <v>5.1925353999999997</v>
      </c>
      <c r="H57" s="3">
        <v>5.1515932080000004</v>
      </c>
      <c r="I57" s="3">
        <v>5.083664894</v>
      </c>
      <c r="J57" s="3">
        <v>4.9841961860000001</v>
      </c>
      <c r="K57" s="3">
        <v>4.8738780019999997</v>
      </c>
      <c r="L57" s="3">
        <v>4.7671217920000002</v>
      </c>
      <c r="M57" s="3">
        <v>4.6812896730000002</v>
      </c>
      <c r="N57" s="3">
        <v>4.6326093669999997</v>
      </c>
      <c r="O57" s="3">
        <v>4.6462650300000004</v>
      </c>
      <c r="P57" s="3">
        <v>4.7233400339999996</v>
      </c>
      <c r="Q57" s="3">
        <v>4.8252444270000003</v>
      </c>
      <c r="R57" s="3">
        <v>4.9317688940000002</v>
      </c>
      <c r="S57" s="3">
        <v>5.0299382210000001</v>
      </c>
      <c r="T57" s="3">
        <v>5.1114387509999997</v>
      </c>
      <c r="U57" s="3">
        <v>5.1721591949999999</v>
      </c>
      <c r="V57" s="3">
        <v>5.2139005660000004</v>
      </c>
      <c r="W57" s="3">
        <v>5.2516288759999998</v>
      </c>
      <c r="X57" s="3">
        <v>5.2912597659999996</v>
      </c>
      <c r="Y57" s="3">
        <v>5.3309745790000003</v>
      </c>
      <c r="Z57" s="3">
        <v>5.3669528959999999</v>
      </c>
    </row>
    <row r="58" spans="3:26" x14ac:dyDescent="0.25">
      <c r="C58" s="3">
        <v>5.26192379</v>
      </c>
      <c r="D58" s="3">
        <v>5.2219352719999996</v>
      </c>
      <c r="E58" s="3">
        <v>5.1815018650000004</v>
      </c>
      <c r="F58" s="3">
        <v>5.1415362360000003</v>
      </c>
      <c r="G58" s="3">
        <v>5.1041026120000001</v>
      </c>
      <c r="H58" s="3">
        <v>5.0639848709999997</v>
      </c>
      <c r="I58" s="3">
        <v>4.9963645940000001</v>
      </c>
      <c r="J58" s="3">
        <v>4.8961653710000004</v>
      </c>
      <c r="K58" s="3">
        <v>4.7857971189999997</v>
      </c>
      <c r="L58" s="3">
        <v>4.6788439750000004</v>
      </c>
      <c r="M58" s="3">
        <v>4.5928893090000003</v>
      </c>
      <c r="N58" s="3">
        <v>4.543550014</v>
      </c>
      <c r="O58" s="3">
        <v>4.5568232540000002</v>
      </c>
      <c r="P58" s="3">
        <v>4.6352663039999999</v>
      </c>
      <c r="Q58" s="3">
        <v>4.7373580930000001</v>
      </c>
      <c r="R58" s="3">
        <v>4.8438930510000002</v>
      </c>
      <c r="S58" s="3">
        <v>4.9421639439999998</v>
      </c>
      <c r="T58" s="3">
        <v>5.0236463550000003</v>
      </c>
      <c r="U58" s="3">
        <v>5.0844712259999998</v>
      </c>
      <c r="V58" s="3">
        <v>5.1256580349999998</v>
      </c>
      <c r="W58" s="3">
        <v>5.1633343700000003</v>
      </c>
      <c r="X58" s="3">
        <v>5.2031054499999998</v>
      </c>
      <c r="Y58" s="3">
        <v>5.2427515979999999</v>
      </c>
      <c r="Z58" s="3">
        <v>5.2789292339999996</v>
      </c>
    </row>
    <row r="59" spans="3:26" x14ac:dyDescent="0.25">
      <c r="C59" s="3">
        <v>5.1736645699999997</v>
      </c>
      <c r="D59" s="3">
        <v>5.133743763</v>
      </c>
      <c r="E59" s="3">
        <v>5.0934343340000003</v>
      </c>
      <c r="F59" s="3">
        <v>5.0536022190000001</v>
      </c>
      <c r="G59" s="3">
        <v>5.0162663460000001</v>
      </c>
      <c r="H59" s="3">
        <v>4.9753270150000004</v>
      </c>
      <c r="I59" s="3">
        <v>4.9074125290000001</v>
      </c>
      <c r="J59" s="3">
        <v>4.8079404830000003</v>
      </c>
      <c r="K59" s="3">
        <v>4.6976194380000003</v>
      </c>
      <c r="L59" s="3">
        <v>4.5908646580000001</v>
      </c>
      <c r="M59" s="3">
        <v>4.5050578120000004</v>
      </c>
      <c r="N59" s="3">
        <v>4.4564042089999996</v>
      </c>
      <c r="O59" s="3">
        <v>4.470073223</v>
      </c>
      <c r="P59" s="3">
        <v>4.5471339229999996</v>
      </c>
      <c r="Q59" s="3">
        <v>4.6490325930000003</v>
      </c>
      <c r="R59" s="3">
        <v>4.7555480000000001</v>
      </c>
      <c r="S59" s="3">
        <v>4.8537168499999996</v>
      </c>
      <c r="T59" s="3">
        <v>4.9352192879999999</v>
      </c>
      <c r="U59" s="3">
        <v>4.9959473609999998</v>
      </c>
      <c r="V59" s="3">
        <v>5.0377140049999998</v>
      </c>
      <c r="W59" s="3">
        <v>5.0754580499999999</v>
      </c>
      <c r="X59" s="3">
        <v>5.1147365569999996</v>
      </c>
      <c r="Y59" s="3">
        <v>5.1526637080000004</v>
      </c>
      <c r="Z59" s="3">
        <v>5.1865644450000001</v>
      </c>
    </row>
    <row r="60" spans="3:26" x14ac:dyDescent="0.25">
      <c r="C60" s="3">
        <v>5.08553648</v>
      </c>
      <c r="D60" s="3">
        <v>5.0455012320000003</v>
      </c>
      <c r="E60" s="3">
        <v>5.0052051540000004</v>
      </c>
      <c r="F60" s="3">
        <v>4.9652824400000002</v>
      </c>
      <c r="G60" s="3">
        <v>4.9278826709999999</v>
      </c>
      <c r="H60" s="3">
        <v>4.8877573009999997</v>
      </c>
      <c r="I60" s="3">
        <v>4.82015276</v>
      </c>
      <c r="J60" s="3">
        <v>4.719952106</v>
      </c>
      <c r="K60" s="3">
        <v>4.6095943449999996</v>
      </c>
      <c r="L60" s="3">
        <v>4.5026369089999996</v>
      </c>
      <c r="M60" s="3">
        <v>4.4166941639999999</v>
      </c>
      <c r="N60" s="3">
        <v>4.3673672679999997</v>
      </c>
      <c r="O60" s="3">
        <v>4.3806343080000003</v>
      </c>
      <c r="P60" s="3">
        <v>4.4590287210000001</v>
      </c>
      <c r="Q60" s="3">
        <v>4.5610938069999998</v>
      </c>
      <c r="R60" s="3">
        <v>4.6676316260000004</v>
      </c>
      <c r="S60" s="3">
        <v>4.7658934589999999</v>
      </c>
      <c r="T60" s="3">
        <v>4.8473854059999999</v>
      </c>
      <c r="U60" s="3">
        <v>4.908212185</v>
      </c>
      <c r="V60" s="3">
        <v>4.9494524000000002</v>
      </c>
      <c r="W60" s="3">
        <v>4.9871983530000001</v>
      </c>
      <c r="X60" s="3">
        <v>5.0267324450000004</v>
      </c>
      <c r="Y60" s="3">
        <v>5.0625581740000003</v>
      </c>
      <c r="Z60" s="3">
        <v>5.0927691460000002</v>
      </c>
    </row>
    <row r="61" spans="3:26" x14ac:dyDescent="0.25">
      <c r="C61" s="3">
        <v>4.9972977639999998</v>
      </c>
      <c r="D61" s="3">
        <v>4.9573016169999997</v>
      </c>
      <c r="E61" s="3">
        <v>4.9171299929999996</v>
      </c>
      <c r="F61" s="3">
        <v>4.8773536679999996</v>
      </c>
      <c r="G61" s="3">
        <v>4.8400645259999999</v>
      </c>
      <c r="H61" s="3">
        <v>4.7991290089999996</v>
      </c>
      <c r="I61" s="3">
        <v>4.7312331199999997</v>
      </c>
      <c r="J61" s="3">
        <v>4.6317596439999997</v>
      </c>
      <c r="K61" s="3">
        <v>4.5214238169999996</v>
      </c>
      <c r="L61" s="3">
        <v>4.4146838190000004</v>
      </c>
      <c r="M61" s="3">
        <v>4.3288478850000001</v>
      </c>
      <c r="N61" s="3">
        <v>4.2801933290000003</v>
      </c>
      <c r="O61" s="3">
        <v>4.2938447000000002</v>
      </c>
      <c r="P61" s="3">
        <v>4.3708801270000004</v>
      </c>
      <c r="Q61" s="3">
        <v>4.4727821350000001</v>
      </c>
      <c r="R61" s="3">
        <v>4.5792870519999997</v>
      </c>
      <c r="S61" s="3">
        <v>4.6774654389999997</v>
      </c>
      <c r="T61" s="3">
        <v>4.7589750290000001</v>
      </c>
      <c r="U61" s="3">
        <v>4.8196744919999999</v>
      </c>
      <c r="V61" s="3">
        <v>4.8614659309999997</v>
      </c>
      <c r="W61" s="3">
        <v>4.8992390629999996</v>
      </c>
      <c r="X61" s="3">
        <v>4.9385261539999998</v>
      </c>
      <c r="Y61" s="3">
        <v>4.9746122359999996</v>
      </c>
      <c r="Z61" s="3">
        <v>5.0059161190000001</v>
      </c>
    </row>
    <row r="62" spans="3:26" x14ac:dyDescent="0.25">
      <c r="C62" s="3">
        <v>4.9091777800000003</v>
      </c>
      <c r="D62" s="3">
        <v>4.8690867420000004</v>
      </c>
      <c r="E62" s="3">
        <v>4.8289499280000001</v>
      </c>
      <c r="F62" s="3">
        <v>4.7890529629999996</v>
      </c>
      <c r="G62" s="3">
        <v>4.7516756060000001</v>
      </c>
      <c r="H62" s="3">
        <v>4.7115497590000004</v>
      </c>
      <c r="I62" s="3">
        <v>4.6439485549999997</v>
      </c>
      <c r="J62" s="3">
        <v>4.5437521930000004</v>
      </c>
      <c r="K62" s="3">
        <v>4.4333815569999997</v>
      </c>
      <c r="L62" s="3">
        <v>4.3264298439999997</v>
      </c>
      <c r="M62" s="3">
        <v>4.2404732699999999</v>
      </c>
      <c r="N62" s="3">
        <v>4.1911435130000001</v>
      </c>
      <c r="O62" s="3">
        <v>4.2044129369999999</v>
      </c>
      <c r="P62" s="3">
        <v>4.2827892299999997</v>
      </c>
      <c r="Q62" s="3">
        <v>4.3848662379999999</v>
      </c>
      <c r="R62" s="3">
        <v>4.4913911820000001</v>
      </c>
      <c r="S62" s="3">
        <v>4.5896720889999996</v>
      </c>
      <c r="T62" s="3">
        <v>4.6711540219999996</v>
      </c>
      <c r="U62" s="3">
        <v>4.7319641109999999</v>
      </c>
      <c r="V62" s="3">
        <v>4.7731618879999997</v>
      </c>
      <c r="W62" s="3">
        <v>4.8108129499999999</v>
      </c>
      <c r="X62" s="3">
        <v>4.8503222470000003</v>
      </c>
      <c r="Y62" s="3">
        <v>4.8887948989999996</v>
      </c>
      <c r="Z62" s="3">
        <v>4.924183846</v>
      </c>
    </row>
    <row r="63" spans="3:26" x14ac:dyDescent="0.25">
      <c r="C63" s="3">
        <v>4.8210005760000003</v>
      </c>
      <c r="D63" s="3">
        <v>4.7808675770000004</v>
      </c>
      <c r="E63" s="3">
        <v>4.7408623700000003</v>
      </c>
      <c r="F63" s="3">
        <v>4.7011251449999998</v>
      </c>
      <c r="G63" s="3">
        <v>4.6637897490000002</v>
      </c>
      <c r="H63" s="3">
        <v>4.6228837970000001</v>
      </c>
      <c r="I63" s="3">
        <v>4.5549483300000002</v>
      </c>
      <c r="J63" s="3">
        <v>4.4554839130000001</v>
      </c>
      <c r="K63" s="3">
        <v>4.3451652530000002</v>
      </c>
      <c r="L63" s="3">
        <v>4.2384257319999996</v>
      </c>
      <c r="M63" s="3">
        <v>4.1526174549999997</v>
      </c>
      <c r="N63" s="3">
        <v>4.1039571759999998</v>
      </c>
      <c r="O63" s="3">
        <v>4.1176085469999997</v>
      </c>
      <c r="P63" s="3">
        <v>4.1946401599999996</v>
      </c>
      <c r="Q63" s="3">
        <v>4.2965164180000004</v>
      </c>
      <c r="R63" s="3">
        <v>4.4030013080000003</v>
      </c>
      <c r="S63" s="3">
        <v>4.5011873250000001</v>
      </c>
      <c r="T63" s="3">
        <v>4.5826692580000001</v>
      </c>
      <c r="U63" s="3">
        <v>4.6433925629999999</v>
      </c>
      <c r="V63" s="3">
        <v>4.6850957869999998</v>
      </c>
      <c r="W63" s="3">
        <v>4.7228441239999999</v>
      </c>
      <c r="X63" s="3">
        <v>4.7624497410000002</v>
      </c>
      <c r="Y63" s="3">
        <v>4.8020644189999997</v>
      </c>
      <c r="Z63" s="3">
        <v>4.8387632370000002</v>
      </c>
    </row>
    <row r="64" spans="3:26" x14ac:dyDescent="0.25">
      <c r="C64" s="3">
        <v>4.7328038220000002</v>
      </c>
      <c r="D64" s="3">
        <v>4.6925978659999998</v>
      </c>
      <c r="E64" s="3">
        <v>4.6526708599999997</v>
      </c>
      <c r="F64" s="3">
        <v>4.6127881999999998</v>
      </c>
      <c r="G64" s="3">
        <v>4.5753951070000003</v>
      </c>
      <c r="H64" s="3">
        <v>4.5352535249999999</v>
      </c>
      <c r="I64" s="3">
        <v>4.4676485059999997</v>
      </c>
      <c r="J64" s="3">
        <v>4.3674430849999997</v>
      </c>
      <c r="K64" s="3">
        <v>4.2571310999999996</v>
      </c>
      <c r="L64" s="3">
        <v>4.1501922609999999</v>
      </c>
      <c r="M64" s="3">
        <v>4.0642523769999999</v>
      </c>
      <c r="N64" s="3">
        <v>4.0149302479999998</v>
      </c>
      <c r="O64" s="3">
        <v>4.0282144549999996</v>
      </c>
      <c r="P64" s="3">
        <v>4.106568813</v>
      </c>
      <c r="Q64" s="3">
        <v>4.2085871700000004</v>
      </c>
      <c r="R64" s="3">
        <v>4.3150753970000002</v>
      </c>
      <c r="S64" s="3">
        <v>4.4133644099999998</v>
      </c>
      <c r="T64" s="3">
        <v>4.494821548</v>
      </c>
      <c r="U64" s="3">
        <v>4.5556426050000001</v>
      </c>
      <c r="V64" s="3">
        <v>4.5968050959999998</v>
      </c>
      <c r="W64" s="3">
        <v>4.6344466210000004</v>
      </c>
      <c r="X64" s="3">
        <v>4.6740918159999998</v>
      </c>
      <c r="Y64" s="3">
        <v>4.7137718199999998</v>
      </c>
      <c r="Z64" s="3">
        <v>4.7512612340000002</v>
      </c>
    </row>
  </sheetData>
  <mergeCells count="1">
    <mergeCell ref="B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2C183-455B-4720-A1A9-2D3A2D0235A7}">
  <sheetPr codeName="Sheet7"/>
  <dimension ref="A1:CFK64"/>
  <sheetViews>
    <sheetView topLeftCell="I31" workbookViewId="0">
      <selection activeCell="C5" sqref="C5:Z64"/>
    </sheetView>
  </sheetViews>
  <sheetFormatPr defaultColWidth="11.7109375" defaultRowHeight="15.75" x14ac:dyDescent="0.25"/>
  <cols>
    <col min="1" max="1" width="3" style="1" customWidth="1"/>
    <col min="2" max="2" width="13.7109375" style="2" customWidth="1"/>
    <col min="3" max="3" width="25.28515625" style="3" customWidth="1"/>
    <col min="4" max="4" width="17.7109375" style="3" customWidth="1"/>
    <col min="5" max="5" width="19.7109375" style="3" customWidth="1"/>
    <col min="6" max="16384" width="11.7109375" style="3"/>
  </cols>
  <sheetData>
    <row r="1" spans="1:2195" s="1" customFormat="1" x14ac:dyDescent="0.25"/>
    <row r="2" spans="1:2195" s="2" customFormat="1" ht="32.450000000000003" customHeight="1" x14ac:dyDescent="0.25">
      <c r="A2" s="1"/>
      <c r="B2" s="52" t="s">
        <v>23</v>
      </c>
      <c r="C2" s="52"/>
      <c r="D2" s="52"/>
      <c r="E2" s="14"/>
      <c r="F2" s="14"/>
    </row>
    <row r="3" spans="1:2195" s="2" customFormat="1" ht="32.450000000000003" customHeight="1" x14ac:dyDescent="0.25">
      <c r="A3" s="1"/>
      <c r="B3" s="15" t="s">
        <v>21</v>
      </c>
      <c r="C3" s="19" t="s">
        <v>22</v>
      </c>
      <c r="D3" s="5"/>
      <c r="E3" s="14"/>
      <c r="F3" s="14"/>
    </row>
    <row r="4" spans="1:2195" s="2" customFormat="1" ht="13.9" customHeight="1" x14ac:dyDescent="0.25">
      <c r="A4" s="1"/>
      <c r="B4" s="5"/>
      <c r="C4" s="17" t="s">
        <v>20</v>
      </c>
      <c r="D4" s="5"/>
      <c r="E4" s="14"/>
      <c r="F4" s="14"/>
    </row>
    <row r="5" spans="1:2195" x14ac:dyDescent="0.25">
      <c r="B5" s="17" t="s">
        <v>19</v>
      </c>
      <c r="C5" s="16">
        <v>1</v>
      </c>
      <c r="D5" s="16">
        <v>1</v>
      </c>
      <c r="E5" s="16">
        <v>1</v>
      </c>
      <c r="F5" s="16">
        <v>1</v>
      </c>
      <c r="G5" s="16">
        <v>1</v>
      </c>
      <c r="H5" s="16">
        <v>1</v>
      </c>
      <c r="I5" s="16">
        <v>1</v>
      </c>
      <c r="J5" s="16">
        <v>1</v>
      </c>
      <c r="K5" s="16">
        <v>1</v>
      </c>
      <c r="L5" s="16">
        <v>1</v>
      </c>
      <c r="M5" s="16">
        <v>1</v>
      </c>
      <c r="N5" s="16">
        <v>1</v>
      </c>
      <c r="O5" s="16">
        <v>1</v>
      </c>
      <c r="P5" s="16">
        <v>1</v>
      </c>
      <c r="Q5" s="16">
        <v>1</v>
      </c>
      <c r="R5" s="16">
        <v>1</v>
      </c>
      <c r="S5" s="16">
        <v>1</v>
      </c>
      <c r="T5" s="16">
        <v>1</v>
      </c>
      <c r="U5" s="16">
        <v>1</v>
      </c>
      <c r="V5" s="16">
        <v>1</v>
      </c>
      <c r="W5" s="16">
        <v>1</v>
      </c>
      <c r="X5" s="16">
        <v>1</v>
      </c>
      <c r="Y5" s="16">
        <v>1</v>
      </c>
      <c r="Z5" s="16">
        <v>1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/>
      <c r="KN5" s="16"/>
      <c r="KO5" s="16"/>
      <c r="KP5" s="16"/>
      <c r="KQ5" s="16"/>
      <c r="KR5" s="16"/>
      <c r="KS5" s="16"/>
      <c r="KT5" s="16"/>
      <c r="KU5" s="16"/>
      <c r="KV5" s="16"/>
      <c r="KW5" s="16"/>
      <c r="KX5" s="16"/>
      <c r="KY5" s="16"/>
      <c r="KZ5" s="16"/>
      <c r="LA5" s="16"/>
      <c r="LB5" s="16"/>
      <c r="LC5" s="16"/>
      <c r="LD5" s="16"/>
      <c r="LE5" s="16"/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/>
      <c r="LQ5" s="16"/>
      <c r="LR5" s="16"/>
      <c r="LS5" s="16"/>
      <c r="LT5" s="16"/>
      <c r="LU5" s="16"/>
      <c r="LV5" s="16"/>
      <c r="LW5" s="16"/>
      <c r="LX5" s="16"/>
      <c r="LY5" s="16"/>
      <c r="LZ5" s="16"/>
      <c r="MA5" s="16"/>
      <c r="MB5" s="16"/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/>
      <c r="PD5" s="16"/>
      <c r="PE5" s="16"/>
      <c r="PF5" s="16"/>
      <c r="PG5" s="16"/>
      <c r="PH5" s="16"/>
      <c r="PI5" s="16"/>
      <c r="PJ5" s="16"/>
      <c r="PK5" s="16"/>
      <c r="PL5" s="16"/>
      <c r="PM5" s="16"/>
      <c r="PN5" s="16"/>
      <c r="PO5" s="16"/>
      <c r="PP5" s="16"/>
      <c r="PQ5" s="16"/>
      <c r="PR5" s="16"/>
      <c r="PS5" s="16"/>
      <c r="PT5" s="16"/>
      <c r="PU5" s="16"/>
      <c r="PV5" s="16"/>
      <c r="PW5" s="16"/>
      <c r="PX5" s="16"/>
      <c r="PY5" s="16"/>
      <c r="PZ5" s="16"/>
      <c r="QA5" s="16"/>
      <c r="QB5" s="16"/>
      <c r="QC5" s="16"/>
      <c r="QD5" s="16"/>
      <c r="QE5" s="16"/>
      <c r="QF5" s="16"/>
      <c r="QG5" s="16"/>
      <c r="QH5" s="16"/>
      <c r="QI5" s="16"/>
      <c r="QJ5" s="16"/>
      <c r="QK5" s="16"/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6"/>
      <c r="RH5" s="16"/>
      <c r="RI5" s="16"/>
      <c r="RJ5" s="16"/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6"/>
      <c r="TF5" s="16"/>
      <c r="TG5" s="16"/>
      <c r="TH5" s="16"/>
      <c r="TI5" s="16"/>
      <c r="TJ5" s="16"/>
      <c r="TK5" s="16"/>
      <c r="TL5" s="16"/>
      <c r="TM5" s="16"/>
      <c r="TN5" s="16"/>
      <c r="TO5" s="16"/>
      <c r="TP5" s="16"/>
      <c r="TQ5" s="16"/>
      <c r="TR5" s="16"/>
      <c r="TS5" s="16"/>
      <c r="TT5" s="16"/>
      <c r="TU5" s="16"/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6"/>
      <c r="WJ5" s="16"/>
      <c r="WK5" s="16"/>
      <c r="WL5" s="16"/>
      <c r="WM5" s="16"/>
      <c r="WN5" s="16"/>
      <c r="WO5" s="16"/>
      <c r="WP5" s="16"/>
      <c r="WQ5" s="16"/>
      <c r="WR5" s="16"/>
      <c r="WS5" s="16"/>
      <c r="WT5" s="16"/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6"/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/>
      <c r="AGX5" s="16"/>
      <c r="AGY5" s="16"/>
      <c r="AGZ5" s="16"/>
      <c r="AHA5" s="16"/>
      <c r="AHB5" s="16"/>
      <c r="AHC5" s="16"/>
      <c r="AHD5" s="16"/>
      <c r="AHE5" s="16"/>
      <c r="AHF5" s="16"/>
      <c r="AHG5" s="16"/>
      <c r="AHH5" s="16"/>
      <c r="AHI5" s="16"/>
      <c r="AHJ5" s="16"/>
      <c r="AHK5" s="16"/>
      <c r="AHL5" s="16"/>
      <c r="AHM5" s="16"/>
      <c r="AHN5" s="16"/>
      <c r="AHO5" s="16"/>
      <c r="AHP5" s="16"/>
      <c r="AHQ5" s="16"/>
      <c r="AHR5" s="16"/>
      <c r="AHS5" s="16"/>
      <c r="AHT5" s="16"/>
      <c r="AHU5" s="16"/>
      <c r="AHV5" s="16"/>
      <c r="AHW5" s="16"/>
      <c r="AHX5" s="16"/>
      <c r="AHY5" s="16"/>
      <c r="AHZ5" s="16"/>
      <c r="AIA5" s="16"/>
      <c r="AIB5" s="16"/>
      <c r="AIC5" s="16"/>
      <c r="AID5" s="16"/>
      <c r="AIE5" s="16"/>
      <c r="AIF5" s="16"/>
      <c r="AIG5" s="16"/>
      <c r="AIH5" s="16"/>
      <c r="AII5" s="16"/>
      <c r="AIJ5" s="16"/>
      <c r="AIK5" s="16"/>
      <c r="AIL5" s="16"/>
      <c r="AIM5" s="16"/>
      <c r="AIN5" s="16"/>
      <c r="AIO5" s="16"/>
      <c r="AIP5" s="16"/>
      <c r="AIQ5" s="16"/>
      <c r="AIR5" s="16"/>
      <c r="AIS5" s="16"/>
      <c r="AIT5" s="16"/>
      <c r="AIU5" s="16"/>
      <c r="AIV5" s="16"/>
      <c r="AIW5" s="16"/>
      <c r="AIX5" s="16"/>
      <c r="AIY5" s="16"/>
      <c r="AIZ5" s="16"/>
      <c r="AJA5" s="16"/>
      <c r="AJB5" s="16"/>
      <c r="AJC5" s="16"/>
      <c r="AJD5" s="16"/>
      <c r="AJE5" s="16"/>
      <c r="AJF5" s="16"/>
      <c r="AJG5" s="16"/>
      <c r="AJH5" s="16"/>
      <c r="AJI5" s="16"/>
      <c r="AJJ5" s="16"/>
      <c r="AJK5" s="16"/>
      <c r="AJL5" s="16"/>
      <c r="AJM5" s="16"/>
      <c r="AJN5" s="16"/>
      <c r="AJO5" s="16"/>
      <c r="AJP5" s="16"/>
      <c r="AJQ5" s="16"/>
      <c r="AJR5" s="16"/>
      <c r="AJS5" s="16"/>
      <c r="AJT5" s="16"/>
      <c r="AJU5" s="16"/>
      <c r="AJV5" s="16"/>
      <c r="AJW5" s="16"/>
      <c r="AJX5" s="16"/>
      <c r="AJY5" s="16"/>
      <c r="AJZ5" s="16"/>
      <c r="AKA5" s="16"/>
      <c r="AKB5" s="16"/>
      <c r="AKC5" s="16"/>
      <c r="AKD5" s="16"/>
      <c r="AKE5" s="16"/>
      <c r="AKF5" s="16"/>
      <c r="AKG5" s="16"/>
      <c r="AKH5" s="16"/>
      <c r="AKI5" s="16"/>
      <c r="AKJ5" s="16"/>
      <c r="AKK5" s="16"/>
      <c r="AKL5" s="16"/>
      <c r="AKM5" s="16"/>
      <c r="AKN5" s="16"/>
      <c r="AKO5" s="16"/>
      <c r="AKP5" s="16"/>
      <c r="AKQ5" s="16"/>
      <c r="AKR5" s="16"/>
      <c r="AKS5" s="16"/>
      <c r="AKT5" s="16"/>
      <c r="AKU5" s="16"/>
      <c r="AKV5" s="16"/>
      <c r="AKW5" s="16"/>
      <c r="AKX5" s="16"/>
      <c r="AKY5" s="16"/>
      <c r="AKZ5" s="16"/>
      <c r="ALA5" s="16"/>
      <c r="ALB5" s="16"/>
      <c r="ALC5" s="16"/>
      <c r="ALD5" s="16"/>
      <c r="ALE5" s="16"/>
      <c r="ALF5" s="16"/>
      <c r="ALG5" s="16"/>
      <c r="ALH5" s="16"/>
      <c r="ALI5" s="16"/>
      <c r="ALJ5" s="16"/>
      <c r="ALK5" s="16"/>
      <c r="ALL5" s="16"/>
      <c r="ALM5" s="16"/>
      <c r="ALN5" s="16"/>
      <c r="ALO5" s="16"/>
      <c r="ALP5" s="16"/>
      <c r="ALQ5" s="16"/>
      <c r="ALR5" s="16"/>
      <c r="ALS5" s="16"/>
      <c r="ALT5" s="16"/>
      <c r="ALU5" s="16"/>
      <c r="ALV5" s="16"/>
      <c r="ALW5" s="16"/>
      <c r="ALX5" s="16"/>
      <c r="ALY5" s="16"/>
      <c r="ALZ5" s="16"/>
      <c r="AMA5" s="16"/>
      <c r="AMB5" s="16"/>
      <c r="AMC5" s="16"/>
      <c r="AMD5" s="16"/>
      <c r="AME5" s="16"/>
      <c r="AMF5" s="16"/>
      <c r="AMG5" s="16"/>
      <c r="AMH5" s="16"/>
      <c r="AMI5" s="16"/>
      <c r="AMJ5" s="16"/>
      <c r="AMK5" s="16"/>
      <c r="AML5" s="16"/>
      <c r="AMM5" s="16"/>
      <c r="AMN5" s="16"/>
      <c r="AMO5" s="16"/>
      <c r="AMP5" s="16"/>
      <c r="AMQ5" s="16"/>
      <c r="AMR5" s="16"/>
      <c r="AMS5" s="16"/>
      <c r="AMT5" s="16"/>
      <c r="AMU5" s="16"/>
      <c r="AMV5" s="16"/>
      <c r="AMW5" s="16"/>
      <c r="AMX5" s="16"/>
      <c r="AMY5" s="16"/>
      <c r="AMZ5" s="16"/>
      <c r="ANA5" s="16"/>
      <c r="ANB5" s="16"/>
      <c r="ANC5" s="16"/>
      <c r="AND5" s="16"/>
      <c r="ANE5" s="16"/>
      <c r="ANF5" s="16"/>
      <c r="ANG5" s="16"/>
      <c r="ANH5" s="16"/>
      <c r="ANI5" s="16"/>
      <c r="ANJ5" s="16"/>
      <c r="ANK5" s="16"/>
      <c r="ANL5" s="16"/>
      <c r="ANM5" s="16"/>
      <c r="ANN5" s="16"/>
      <c r="ANO5" s="16"/>
      <c r="ANP5" s="16"/>
      <c r="ANQ5" s="16"/>
      <c r="ANR5" s="16"/>
      <c r="ANS5" s="16"/>
      <c r="ANT5" s="16"/>
      <c r="ANU5" s="16"/>
      <c r="ANV5" s="16"/>
      <c r="ANW5" s="16"/>
      <c r="ANX5" s="16"/>
      <c r="ANY5" s="16"/>
      <c r="ANZ5" s="16"/>
      <c r="AOA5" s="16"/>
      <c r="AOB5" s="16"/>
      <c r="AOC5" s="16"/>
      <c r="AOD5" s="16"/>
      <c r="AOE5" s="16"/>
      <c r="AOF5" s="16"/>
      <c r="AOG5" s="16"/>
      <c r="AOH5" s="16"/>
      <c r="AOI5" s="16"/>
      <c r="AOJ5" s="16"/>
      <c r="AOK5" s="16"/>
      <c r="AOL5" s="16"/>
      <c r="AOM5" s="16"/>
      <c r="AON5" s="16"/>
      <c r="AOO5" s="16"/>
      <c r="AOP5" s="16"/>
      <c r="AOQ5" s="16"/>
      <c r="AOR5" s="16"/>
      <c r="AOS5" s="16"/>
      <c r="AOT5" s="16"/>
      <c r="AOU5" s="16"/>
      <c r="AOV5" s="16"/>
      <c r="AOW5" s="16"/>
      <c r="AOX5" s="16"/>
      <c r="AOY5" s="16"/>
      <c r="AOZ5" s="16"/>
      <c r="APA5" s="16"/>
      <c r="APB5" s="16"/>
      <c r="APC5" s="16"/>
      <c r="APD5" s="16"/>
      <c r="APE5" s="16"/>
      <c r="APF5" s="16"/>
      <c r="APG5" s="16"/>
      <c r="APH5" s="16"/>
      <c r="API5" s="16"/>
      <c r="APJ5" s="16"/>
      <c r="APK5" s="16"/>
      <c r="APL5" s="16"/>
      <c r="APM5" s="16"/>
      <c r="APN5" s="16"/>
      <c r="APO5" s="16"/>
      <c r="APP5" s="16"/>
      <c r="APQ5" s="16"/>
      <c r="APR5" s="16"/>
      <c r="APS5" s="16"/>
      <c r="APT5" s="16"/>
      <c r="APU5" s="16"/>
      <c r="APV5" s="16"/>
      <c r="APW5" s="16"/>
      <c r="APX5" s="16"/>
      <c r="APY5" s="16"/>
      <c r="APZ5" s="16"/>
      <c r="AQA5" s="16"/>
      <c r="AQB5" s="16"/>
      <c r="AQC5" s="16"/>
      <c r="AQD5" s="16"/>
      <c r="AQE5" s="16"/>
      <c r="AQF5" s="16"/>
      <c r="AQG5" s="16"/>
      <c r="AQH5" s="16"/>
      <c r="AQI5" s="16"/>
      <c r="AQJ5" s="16"/>
      <c r="AQK5" s="16"/>
      <c r="AQL5" s="16"/>
      <c r="AQM5" s="16"/>
      <c r="AQN5" s="16"/>
      <c r="AQO5" s="16"/>
      <c r="AQP5" s="16"/>
      <c r="AQQ5" s="16"/>
      <c r="AQR5" s="16"/>
      <c r="AQS5" s="16"/>
      <c r="AQT5" s="16"/>
      <c r="AQU5" s="16"/>
      <c r="AQV5" s="16"/>
      <c r="AQW5" s="16"/>
      <c r="AQX5" s="16"/>
      <c r="AQY5" s="16"/>
      <c r="AQZ5" s="16"/>
      <c r="ARA5" s="16"/>
      <c r="ARB5" s="16"/>
      <c r="ARC5" s="16"/>
      <c r="ARD5" s="16"/>
      <c r="ARE5" s="16"/>
      <c r="ARF5" s="16"/>
      <c r="ARG5" s="16"/>
      <c r="ARH5" s="16"/>
      <c r="ARI5" s="16"/>
      <c r="ARJ5" s="16"/>
      <c r="ARK5" s="16"/>
      <c r="ARL5" s="16"/>
      <c r="ARM5" s="16"/>
      <c r="ARN5" s="16"/>
      <c r="ARO5" s="16"/>
      <c r="ARP5" s="16"/>
      <c r="ARQ5" s="16"/>
      <c r="ARR5" s="16"/>
      <c r="ARS5" s="16"/>
      <c r="ART5" s="16"/>
      <c r="ARU5" s="16"/>
      <c r="ARV5" s="16"/>
      <c r="ARW5" s="16"/>
      <c r="ARX5" s="16"/>
      <c r="ARY5" s="16"/>
      <c r="ARZ5" s="16"/>
      <c r="ASA5" s="16"/>
      <c r="ASB5" s="16"/>
      <c r="ASC5" s="16"/>
      <c r="ASD5" s="16"/>
      <c r="ASE5" s="16"/>
      <c r="ASF5" s="16"/>
      <c r="ASG5" s="16"/>
      <c r="ASH5" s="16"/>
      <c r="ASI5" s="16"/>
      <c r="ASJ5" s="16"/>
      <c r="ASK5" s="16"/>
      <c r="ASL5" s="16"/>
      <c r="ASM5" s="16"/>
      <c r="ASN5" s="16"/>
      <c r="ASO5" s="16"/>
      <c r="ASP5" s="16"/>
      <c r="ASQ5" s="16"/>
      <c r="ASR5" s="16"/>
      <c r="ASS5" s="16"/>
      <c r="AST5" s="16"/>
      <c r="ASU5" s="16"/>
      <c r="ASV5" s="16"/>
      <c r="ASW5" s="16"/>
      <c r="ASX5" s="16"/>
      <c r="ASY5" s="16"/>
      <c r="ASZ5" s="16"/>
      <c r="ATA5" s="16"/>
      <c r="ATB5" s="16"/>
      <c r="ATC5" s="16"/>
      <c r="ATD5" s="16"/>
      <c r="ATE5" s="16"/>
      <c r="ATF5" s="16"/>
      <c r="ATG5" s="16"/>
      <c r="ATH5" s="16"/>
      <c r="ATI5" s="16"/>
      <c r="ATJ5" s="16"/>
      <c r="ATK5" s="16"/>
      <c r="ATL5" s="16"/>
      <c r="ATM5" s="16"/>
      <c r="ATN5" s="16"/>
      <c r="ATO5" s="16"/>
      <c r="ATP5" s="16"/>
      <c r="ATQ5" s="16"/>
      <c r="ATR5" s="16"/>
      <c r="ATS5" s="16"/>
      <c r="ATT5" s="16"/>
      <c r="ATU5" s="16"/>
      <c r="ATV5" s="16"/>
      <c r="ATW5" s="16"/>
      <c r="ATX5" s="16"/>
      <c r="ATY5" s="16"/>
      <c r="ATZ5" s="16"/>
      <c r="AUA5" s="16"/>
      <c r="AUB5" s="16"/>
      <c r="AUC5" s="16"/>
      <c r="AUD5" s="16"/>
      <c r="AUE5" s="16"/>
      <c r="AUF5" s="16"/>
      <c r="AUG5" s="16"/>
      <c r="AUH5" s="16"/>
      <c r="AUI5" s="16"/>
      <c r="AUJ5" s="16"/>
      <c r="AUK5" s="16"/>
      <c r="AUL5" s="16"/>
      <c r="AUM5" s="16"/>
      <c r="AUN5" s="16"/>
      <c r="AUO5" s="16"/>
      <c r="AUP5" s="16"/>
      <c r="AUQ5" s="16"/>
      <c r="AUR5" s="16"/>
      <c r="AUS5" s="16"/>
      <c r="AUT5" s="16"/>
      <c r="AUU5" s="16"/>
      <c r="AUV5" s="16"/>
      <c r="AUW5" s="16"/>
      <c r="AUX5" s="16"/>
      <c r="AUY5" s="16"/>
      <c r="AUZ5" s="16"/>
      <c r="AVA5" s="16"/>
      <c r="AVB5" s="16"/>
      <c r="AVC5" s="16"/>
      <c r="AVD5" s="16"/>
      <c r="AVE5" s="16"/>
      <c r="AVF5" s="16"/>
      <c r="AVG5" s="16"/>
      <c r="AVH5" s="16"/>
      <c r="AVI5" s="16"/>
      <c r="AVJ5" s="16"/>
      <c r="AVK5" s="16"/>
      <c r="AVL5" s="16"/>
      <c r="AVM5" s="16"/>
      <c r="AVN5" s="16"/>
      <c r="AVO5" s="16"/>
      <c r="AVP5" s="16"/>
      <c r="AVQ5" s="16"/>
      <c r="AVR5" s="16"/>
      <c r="AVS5" s="16"/>
      <c r="AVT5" s="16"/>
      <c r="AVU5" s="16"/>
      <c r="AVV5" s="16"/>
      <c r="AVW5" s="16"/>
      <c r="AVX5" s="16"/>
      <c r="AVY5" s="16"/>
      <c r="AVZ5" s="16"/>
      <c r="AWA5" s="16"/>
      <c r="AWB5" s="16"/>
      <c r="AWC5" s="16"/>
      <c r="AWD5" s="16"/>
      <c r="AWE5" s="16"/>
      <c r="AWF5" s="16"/>
      <c r="AWG5" s="16"/>
      <c r="AWH5" s="16"/>
      <c r="AWI5" s="16"/>
      <c r="AWJ5" s="16"/>
      <c r="AWK5" s="16"/>
      <c r="AWL5" s="16"/>
      <c r="AWM5" s="16"/>
      <c r="AWN5" s="16"/>
      <c r="AWO5" s="16"/>
      <c r="AWP5" s="16"/>
      <c r="AWQ5" s="16"/>
      <c r="AWR5" s="16"/>
      <c r="AWS5" s="16"/>
      <c r="AWT5" s="16"/>
      <c r="AWU5" s="16"/>
      <c r="AWV5" s="16"/>
      <c r="AWW5" s="16"/>
      <c r="AWX5" s="16"/>
      <c r="AWY5" s="16"/>
      <c r="AWZ5" s="16"/>
      <c r="AXA5" s="16"/>
      <c r="AXB5" s="16"/>
      <c r="AXC5" s="16"/>
      <c r="AXD5" s="16"/>
      <c r="AXE5" s="16"/>
      <c r="AXF5" s="16"/>
      <c r="AXG5" s="16"/>
      <c r="AXH5" s="16"/>
      <c r="AXI5" s="16"/>
      <c r="AXJ5" s="16"/>
      <c r="AXK5" s="16"/>
      <c r="AXL5" s="16"/>
      <c r="AXM5" s="16"/>
      <c r="AXN5" s="16"/>
      <c r="AXO5" s="16"/>
      <c r="AXP5" s="16"/>
      <c r="AXQ5" s="16"/>
      <c r="AXR5" s="16"/>
      <c r="AXS5" s="16"/>
      <c r="AXT5" s="16"/>
      <c r="AXU5" s="16"/>
      <c r="AXV5" s="16"/>
      <c r="AXW5" s="16"/>
      <c r="AXX5" s="16"/>
      <c r="AXY5" s="16"/>
      <c r="AXZ5" s="16"/>
      <c r="AYA5" s="16"/>
      <c r="AYB5" s="16"/>
      <c r="AYC5" s="16"/>
      <c r="AYD5" s="16"/>
      <c r="AYE5" s="16"/>
      <c r="AYF5" s="16"/>
      <c r="AYG5" s="16"/>
      <c r="AYH5" s="16"/>
      <c r="AYI5" s="16"/>
      <c r="AYJ5" s="16"/>
      <c r="AYK5" s="16"/>
      <c r="AYL5" s="16"/>
      <c r="AYM5" s="16"/>
      <c r="AYN5" s="16"/>
      <c r="AYO5" s="16"/>
      <c r="AYP5" s="16"/>
      <c r="AYQ5" s="16"/>
      <c r="AYR5" s="16"/>
      <c r="AYS5" s="16"/>
      <c r="AYT5" s="16"/>
      <c r="AYU5" s="16"/>
      <c r="AYV5" s="16"/>
      <c r="AYW5" s="16"/>
      <c r="AYX5" s="16"/>
      <c r="AYY5" s="16"/>
      <c r="AYZ5" s="16"/>
      <c r="AZA5" s="16"/>
      <c r="AZB5" s="16"/>
      <c r="AZC5" s="16"/>
      <c r="AZD5" s="16"/>
      <c r="AZE5" s="16"/>
      <c r="AZF5" s="16"/>
      <c r="AZG5" s="16"/>
      <c r="AZH5" s="16"/>
      <c r="AZI5" s="16"/>
      <c r="AZJ5" s="16"/>
      <c r="AZK5" s="16"/>
      <c r="AZL5" s="16"/>
      <c r="AZM5" s="16"/>
      <c r="AZN5" s="16"/>
      <c r="AZO5" s="16"/>
      <c r="AZP5" s="16"/>
      <c r="AZQ5" s="16"/>
      <c r="AZR5" s="16"/>
      <c r="AZS5" s="16"/>
      <c r="AZT5" s="16"/>
      <c r="AZU5" s="16"/>
      <c r="AZV5" s="16"/>
      <c r="AZW5" s="16"/>
      <c r="AZX5" s="16"/>
      <c r="AZY5" s="16"/>
      <c r="AZZ5" s="16"/>
      <c r="BAA5" s="16"/>
      <c r="BAB5" s="16"/>
      <c r="BAC5" s="16"/>
      <c r="BAD5" s="16"/>
      <c r="BAE5" s="16"/>
      <c r="BAF5" s="16"/>
      <c r="BAG5" s="16"/>
      <c r="BAH5" s="16"/>
      <c r="BAI5" s="16"/>
      <c r="BAJ5" s="16"/>
      <c r="BAK5" s="16"/>
      <c r="BAL5" s="16"/>
      <c r="BAM5" s="16"/>
      <c r="BAN5" s="16"/>
      <c r="BAO5" s="16"/>
      <c r="BAP5" s="16"/>
      <c r="BAQ5" s="16"/>
      <c r="BAR5" s="16"/>
      <c r="BAS5" s="16"/>
      <c r="BAT5" s="16"/>
      <c r="BAU5" s="16"/>
      <c r="BAV5" s="16"/>
      <c r="BAW5" s="16"/>
      <c r="BAX5" s="16"/>
      <c r="BAY5" s="16"/>
      <c r="BAZ5" s="16"/>
      <c r="BBA5" s="16"/>
      <c r="BBB5" s="16"/>
      <c r="BBC5" s="16"/>
      <c r="BBD5" s="16"/>
      <c r="BBE5" s="16"/>
      <c r="BBF5" s="16"/>
      <c r="BBG5" s="16"/>
      <c r="BBH5" s="16"/>
      <c r="BBI5" s="16"/>
      <c r="BBJ5" s="16"/>
      <c r="BBK5" s="16"/>
      <c r="BBL5" s="16"/>
      <c r="BBM5" s="16"/>
      <c r="BBN5" s="16"/>
      <c r="BBO5" s="16"/>
      <c r="BBP5" s="16"/>
      <c r="BBQ5" s="16"/>
      <c r="BBR5" s="16"/>
      <c r="BBS5" s="16"/>
      <c r="BBT5" s="16"/>
      <c r="BBU5" s="16"/>
      <c r="BBV5" s="16"/>
      <c r="BBW5" s="16"/>
      <c r="BBX5" s="16"/>
      <c r="BBY5" s="16"/>
      <c r="BBZ5" s="16"/>
      <c r="BCA5" s="16"/>
      <c r="BCB5" s="16"/>
      <c r="BCC5" s="16"/>
      <c r="BCD5" s="16"/>
      <c r="BCE5" s="16"/>
      <c r="BCF5" s="16"/>
      <c r="BCG5" s="16"/>
      <c r="BCH5" s="16"/>
      <c r="BCI5" s="16"/>
      <c r="BCJ5" s="16"/>
      <c r="BCK5" s="16"/>
      <c r="BCL5" s="16"/>
      <c r="BCM5" s="16"/>
      <c r="BCN5" s="16"/>
      <c r="BCO5" s="16"/>
      <c r="BCP5" s="16"/>
      <c r="BCQ5" s="16"/>
      <c r="BCR5" s="16"/>
      <c r="BCS5" s="16"/>
      <c r="BCT5" s="16"/>
      <c r="BCU5" s="16"/>
      <c r="BCV5" s="16"/>
      <c r="BCW5" s="16"/>
      <c r="BCX5" s="16"/>
      <c r="BCY5" s="16"/>
      <c r="BCZ5" s="16"/>
      <c r="BDA5" s="16"/>
      <c r="BDB5" s="16"/>
      <c r="BDC5" s="16"/>
      <c r="BDD5" s="16"/>
      <c r="BDE5" s="16"/>
      <c r="BDF5" s="16"/>
      <c r="BDG5" s="16"/>
      <c r="BDH5" s="16"/>
      <c r="BDI5" s="16"/>
      <c r="BDJ5" s="16"/>
      <c r="BDK5" s="16"/>
      <c r="BDL5" s="16"/>
      <c r="BDM5" s="16"/>
      <c r="BDN5" s="16"/>
      <c r="BDO5" s="16"/>
      <c r="BDP5" s="16"/>
      <c r="BDQ5" s="16"/>
      <c r="BDR5" s="16"/>
      <c r="BDS5" s="16"/>
      <c r="BDT5" s="16"/>
      <c r="BDU5" s="16"/>
      <c r="BDV5" s="16"/>
      <c r="BDW5" s="16"/>
      <c r="BDX5" s="16"/>
      <c r="BDY5" s="16"/>
      <c r="BDZ5" s="16"/>
      <c r="BEA5" s="16"/>
      <c r="BEB5" s="16"/>
      <c r="BEC5" s="16"/>
      <c r="BED5" s="16"/>
      <c r="BEE5" s="16"/>
      <c r="BEF5" s="16"/>
      <c r="BEG5" s="16"/>
      <c r="BEH5" s="16"/>
      <c r="BEI5" s="16"/>
      <c r="BEJ5" s="16"/>
      <c r="BEK5" s="16"/>
      <c r="BEL5" s="16"/>
      <c r="BEM5" s="16"/>
      <c r="BEN5" s="16"/>
      <c r="BEO5" s="16"/>
      <c r="BEP5" s="16"/>
      <c r="BEQ5" s="16"/>
      <c r="BER5" s="16"/>
      <c r="BES5" s="16"/>
      <c r="BET5" s="16"/>
      <c r="BEU5" s="16"/>
      <c r="BEV5" s="16"/>
      <c r="BEW5" s="16"/>
      <c r="BEX5" s="16"/>
      <c r="BEY5" s="16"/>
      <c r="BEZ5" s="16"/>
      <c r="BFA5" s="16"/>
      <c r="BFB5" s="16"/>
      <c r="BFC5" s="16"/>
      <c r="BFD5" s="16"/>
      <c r="BFE5" s="16"/>
      <c r="BFF5" s="16"/>
      <c r="BFG5" s="16"/>
      <c r="BFH5" s="16"/>
      <c r="BFI5" s="16"/>
      <c r="BFJ5" s="16"/>
      <c r="BFK5" s="16"/>
      <c r="BFL5" s="16"/>
      <c r="BFM5" s="16"/>
      <c r="BFN5" s="16"/>
      <c r="BFO5" s="16"/>
      <c r="BFP5" s="16"/>
      <c r="BFQ5" s="16"/>
      <c r="BFR5" s="16"/>
      <c r="BFS5" s="16"/>
      <c r="BFT5" s="16"/>
      <c r="BFU5" s="16"/>
      <c r="BFV5" s="16"/>
      <c r="BFW5" s="16"/>
      <c r="BFX5" s="16"/>
      <c r="BFY5" s="16"/>
      <c r="BFZ5" s="16"/>
      <c r="BGA5" s="16"/>
      <c r="BGB5" s="16"/>
      <c r="BGC5" s="16"/>
      <c r="BGD5" s="16"/>
      <c r="BGE5" s="16"/>
      <c r="BGF5" s="16"/>
      <c r="BGG5" s="16"/>
      <c r="BGH5" s="16"/>
      <c r="BGI5" s="16"/>
      <c r="BGJ5" s="16"/>
      <c r="BGK5" s="16"/>
      <c r="BGL5" s="16"/>
      <c r="BGM5" s="16"/>
      <c r="BGN5" s="16"/>
      <c r="BGO5" s="16"/>
      <c r="BGP5" s="16"/>
      <c r="BGQ5" s="16"/>
      <c r="BGR5" s="16"/>
      <c r="BGS5" s="16"/>
      <c r="BGT5" s="16"/>
      <c r="BGU5" s="16"/>
      <c r="BGV5" s="16"/>
      <c r="BGW5" s="16"/>
      <c r="BGX5" s="16"/>
      <c r="BGY5" s="16"/>
      <c r="BGZ5" s="16"/>
      <c r="BHA5" s="16"/>
      <c r="BHB5" s="16"/>
      <c r="BHC5" s="16"/>
      <c r="BHD5" s="16"/>
      <c r="BHE5" s="16"/>
      <c r="BHF5" s="16"/>
      <c r="BHG5" s="16"/>
      <c r="BHH5" s="16"/>
      <c r="BHI5" s="16"/>
      <c r="BHJ5" s="16"/>
      <c r="BHK5" s="16"/>
      <c r="BHL5" s="16"/>
      <c r="BHM5" s="16"/>
      <c r="BHN5" s="16"/>
      <c r="BHO5" s="16"/>
      <c r="BHP5" s="16"/>
      <c r="BHQ5" s="16"/>
      <c r="BHR5" s="16"/>
      <c r="BHS5" s="16"/>
      <c r="BHT5" s="16"/>
      <c r="BHU5" s="16"/>
      <c r="BHV5" s="16"/>
      <c r="BHW5" s="16"/>
      <c r="BHX5" s="16"/>
      <c r="BHY5" s="16"/>
      <c r="BHZ5" s="16"/>
      <c r="BIA5" s="16"/>
      <c r="BIB5" s="16"/>
      <c r="BIC5" s="16"/>
      <c r="BID5" s="16"/>
      <c r="BIE5" s="16"/>
      <c r="BIF5" s="16"/>
      <c r="BIG5" s="16"/>
      <c r="BIH5" s="16"/>
      <c r="BII5" s="16"/>
      <c r="BIJ5" s="16"/>
      <c r="BIK5" s="16"/>
      <c r="BIL5" s="16"/>
      <c r="BIM5" s="16"/>
      <c r="BIN5" s="16"/>
      <c r="BIO5" s="16"/>
      <c r="BIP5" s="16"/>
      <c r="BIQ5" s="16"/>
      <c r="BIR5" s="16"/>
      <c r="BIS5" s="16"/>
      <c r="BIT5" s="16"/>
      <c r="BIU5" s="16"/>
      <c r="BIV5" s="16"/>
      <c r="BIW5" s="16"/>
      <c r="BIX5" s="16"/>
      <c r="BIY5" s="16"/>
      <c r="BIZ5" s="16"/>
      <c r="BJA5" s="16"/>
      <c r="BJB5" s="16"/>
      <c r="BJC5" s="16"/>
      <c r="BJD5" s="16"/>
      <c r="BJE5" s="16"/>
      <c r="BJF5" s="16"/>
      <c r="BJG5" s="16"/>
      <c r="BJH5" s="16"/>
      <c r="BJI5" s="16"/>
      <c r="BJJ5" s="16"/>
      <c r="BJK5" s="16"/>
      <c r="BJL5" s="16"/>
      <c r="BJM5" s="16"/>
      <c r="BJN5" s="16"/>
      <c r="BJO5" s="16"/>
      <c r="BJP5" s="16"/>
      <c r="BJQ5" s="16"/>
      <c r="BJR5" s="16"/>
      <c r="BJS5" s="16"/>
      <c r="BJT5" s="16"/>
      <c r="BJU5" s="16"/>
      <c r="BJV5" s="16"/>
      <c r="BJW5" s="16"/>
      <c r="BJX5" s="16"/>
      <c r="BJY5" s="16"/>
      <c r="BJZ5" s="16"/>
      <c r="BKA5" s="16"/>
      <c r="BKB5" s="16"/>
      <c r="BKC5" s="16"/>
      <c r="BKD5" s="16"/>
      <c r="BKE5" s="16"/>
      <c r="BKF5" s="16"/>
      <c r="BKG5" s="16"/>
      <c r="BKH5" s="16"/>
      <c r="BKI5" s="16"/>
      <c r="BKJ5" s="16"/>
      <c r="BKK5" s="16"/>
      <c r="BKL5" s="16"/>
      <c r="BKM5" s="16"/>
      <c r="BKN5" s="16"/>
      <c r="BKO5" s="16"/>
      <c r="BKP5" s="16"/>
      <c r="BKQ5" s="16"/>
      <c r="BKR5" s="16"/>
      <c r="BKS5" s="16"/>
      <c r="BKT5" s="16"/>
      <c r="BKU5" s="16"/>
      <c r="BKV5" s="16"/>
      <c r="BKW5" s="16"/>
      <c r="BKX5" s="16"/>
      <c r="BKY5" s="16"/>
      <c r="BKZ5" s="16"/>
      <c r="BLA5" s="16"/>
      <c r="BLB5" s="16"/>
      <c r="BLC5" s="16"/>
      <c r="BLD5" s="16"/>
      <c r="BLE5" s="16"/>
      <c r="BLF5" s="16"/>
      <c r="BLG5" s="16"/>
      <c r="BLH5" s="16"/>
      <c r="BLI5" s="16"/>
      <c r="BLJ5" s="16"/>
      <c r="BLK5" s="16"/>
      <c r="BLL5" s="16"/>
      <c r="BLM5" s="16"/>
      <c r="BLN5" s="16"/>
      <c r="BLO5" s="16"/>
      <c r="BLP5" s="16"/>
      <c r="BLQ5" s="16"/>
      <c r="BLR5" s="16"/>
      <c r="BLS5" s="16"/>
      <c r="BLT5" s="16"/>
      <c r="BLU5" s="16"/>
      <c r="BLV5" s="16"/>
      <c r="BLW5" s="16"/>
      <c r="BLX5" s="16"/>
      <c r="BLY5" s="16"/>
      <c r="BLZ5" s="16"/>
      <c r="BMA5" s="16"/>
      <c r="BMB5" s="16"/>
      <c r="BMC5" s="16"/>
      <c r="BMD5" s="16"/>
      <c r="BME5" s="16"/>
      <c r="BMF5" s="16"/>
      <c r="BMG5" s="16"/>
      <c r="BMH5" s="16"/>
      <c r="BMI5" s="16"/>
      <c r="BMJ5" s="16"/>
      <c r="BMK5" s="16"/>
      <c r="BML5" s="16"/>
      <c r="BMM5" s="16"/>
      <c r="BMN5" s="16"/>
      <c r="BMO5" s="16"/>
      <c r="BMP5" s="16"/>
      <c r="BMQ5" s="16"/>
      <c r="BMR5" s="16"/>
      <c r="BMS5" s="16"/>
      <c r="BMT5" s="16"/>
      <c r="BMU5" s="16"/>
      <c r="BMV5" s="16"/>
      <c r="BMW5" s="16"/>
      <c r="BMX5" s="16"/>
      <c r="BMY5" s="16"/>
      <c r="BMZ5" s="16"/>
      <c r="BNA5" s="16"/>
      <c r="BNB5" s="16"/>
      <c r="BNC5" s="16"/>
      <c r="BND5" s="16"/>
      <c r="BNE5" s="16"/>
      <c r="BNF5" s="16"/>
      <c r="BNG5" s="16"/>
      <c r="BNH5" s="16"/>
      <c r="BNI5" s="16"/>
      <c r="BNJ5" s="16"/>
      <c r="BNK5" s="16"/>
      <c r="BNL5" s="16"/>
      <c r="BNM5" s="16"/>
      <c r="BNN5" s="16"/>
      <c r="BNO5" s="16"/>
      <c r="BNP5" s="16"/>
      <c r="BNQ5" s="16"/>
      <c r="BNR5" s="16"/>
      <c r="BNS5" s="16"/>
      <c r="BNT5" s="16"/>
      <c r="BNU5" s="16"/>
      <c r="BNV5" s="16"/>
      <c r="BNW5" s="16"/>
      <c r="BNX5" s="16"/>
      <c r="BNY5" s="16"/>
      <c r="BNZ5" s="16"/>
      <c r="BOA5" s="16"/>
      <c r="BOB5" s="16"/>
      <c r="BOC5" s="16"/>
      <c r="BOD5" s="16"/>
      <c r="BOE5" s="16"/>
      <c r="BOF5" s="16"/>
      <c r="BOG5" s="16"/>
      <c r="BOH5" s="16"/>
      <c r="BOI5" s="16"/>
      <c r="BOJ5" s="16"/>
      <c r="BOK5" s="16"/>
      <c r="BOL5" s="16"/>
      <c r="BOM5" s="16"/>
      <c r="BON5" s="16"/>
      <c r="BOO5" s="16"/>
      <c r="BOP5" s="16"/>
      <c r="BOQ5" s="16"/>
      <c r="BOR5" s="16"/>
      <c r="BOS5" s="16"/>
      <c r="BOT5" s="16"/>
      <c r="BOU5" s="16"/>
      <c r="BOV5" s="16"/>
      <c r="BOW5" s="16"/>
      <c r="BOX5" s="16"/>
      <c r="BOY5" s="16"/>
      <c r="BOZ5" s="16"/>
      <c r="BPA5" s="16"/>
      <c r="BPB5" s="16"/>
      <c r="BPC5" s="16"/>
      <c r="BPD5" s="16"/>
      <c r="BPE5" s="16"/>
      <c r="BPF5" s="16"/>
      <c r="BPG5" s="16"/>
      <c r="BPH5" s="16"/>
      <c r="BPI5" s="16"/>
      <c r="BPJ5" s="16"/>
      <c r="BPK5" s="16"/>
      <c r="BPL5" s="16"/>
      <c r="BPM5" s="16"/>
      <c r="BPN5" s="16"/>
      <c r="BPO5" s="16"/>
      <c r="BPP5" s="16"/>
      <c r="BPQ5" s="16"/>
      <c r="BPR5" s="16"/>
      <c r="BPS5" s="16"/>
      <c r="BPT5" s="16"/>
      <c r="BPU5" s="16"/>
      <c r="BPV5" s="16"/>
      <c r="BPW5" s="16"/>
      <c r="BPX5" s="16"/>
      <c r="BPY5" s="16"/>
      <c r="BPZ5" s="16"/>
      <c r="BQA5" s="16"/>
      <c r="BQB5" s="16"/>
      <c r="BQC5" s="16"/>
      <c r="BQD5" s="16"/>
      <c r="BQE5" s="16"/>
      <c r="BQF5" s="16"/>
      <c r="BQG5" s="16"/>
      <c r="BQH5" s="16"/>
      <c r="BQI5" s="16"/>
      <c r="BQJ5" s="16"/>
      <c r="BQK5" s="16"/>
      <c r="BQL5" s="16"/>
      <c r="BQM5" s="16"/>
      <c r="BQN5" s="16"/>
      <c r="BQO5" s="16"/>
      <c r="BQP5" s="16"/>
      <c r="BQQ5" s="16"/>
      <c r="BQR5" s="16"/>
      <c r="BQS5" s="16"/>
      <c r="BQT5" s="16"/>
      <c r="BQU5" s="16"/>
      <c r="BQV5" s="16"/>
      <c r="BQW5" s="16"/>
      <c r="BQX5" s="16"/>
      <c r="BQY5" s="16"/>
      <c r="BQZ5" s="16"/>
      <c r="BRA5" s="16"/>
      <c r="BRB5" s="16"/>
      <c r="BRC5" s="16"/>
      <c r="BRD5" s="16"/>
      <c r="BRE5" s="16"/>
      <c r="BRF5" s="16"/>
      <c r="BRG5" s="16"/>
      <c r="BRH5" s="16"/>
      <c r="BRI5" s="16"/>
      <c r="BRJ5" s="16"/>
      <c r="BRK5" s="16"/>
      <c r="BRL5" s="16"/>
      <c r="BRM5" s="16"/>
      <c r="BRN5" s="16"/>
      <c r="BRO5" s="16"/>
      <c r="BRP5" s="16"/>
      <c r="BRQ5" s="16"/>
      <c r="BRR5" s="16"/>
      <c r="BRS5" s="16"/>
      <c r="BRT5" s="16"/>
      <c r="BRU5" s="16"/>
      <c r="BRV5" s="16"/>
      <c r="BRW5" s="16"/>
      <c r="BRX5" s="16"/>
      <c r="BRY5" s="16"/>
      <c r="BRZ5" s="16"/>
      <c r="BSA5" s="16"/>
      <c r="BSB5" s="16"/>
      <c r="BSC5" s="16"/>
      <c r="BSD5" s="16"/>
      <c r="BSE5" s="16"/>
      <c r="BSF5" s="16"/>
      <c r="BSG5" s="16"/>
      <c r="BSH5" s="16"/>
      <c r="BSI5" s="16"/>
      <c r="BSJ5" s="16"/>
      <c r="BSK5" s="16"/>
      <c r="BSL5" s="16"/>
      <c r="BSM5" s="16"/>
      <c r="BSN5" s="16"/>
      <c r="BSO5" s="16"/>
      <c r="BSP5" s="16"/>
      <c r="BSQ5" s="16"/>
      <c r="BSR5" s="16"/>
      <c r="BSS5" s="16"/>
      <c r="BST5" s="16"/>
      <c r="BSU5" s="16"/>
      <c r="BSV5" s="16"/>
      <c r="BSW5" s="16"/>
      <c r="BSX5" s="16"/>
      <c r="BSY5" s="16"/>
      <c r="BSZ5" s="16"/>
      <c r="BTA5" s="16"/>
      <c r="BTB5" s="16"/>
      <c r="BTC5" s="16"/>
      <c r="BTD5" s="16"/>
      <c r="BTE5" s="16"/>
      <c r="BTF5" s="16"/>
      <c r="BTG5" s="16"/>
      <c r="BTH5" s="16"/>
      <c r="BTI5" s="16"/>
      <c r="BTJ5" s="16"/>
      <c r="BTK5" s="16"/>
      <c r="BTL5" s="16"/>
      <c r="BTM5" s="16"/>
      <c r="BTN5" s="16"/>
      <c r="BTO5" s="16"/>
      <c r="BTP5" s="16"/>
      <c r="BTQ5" s="16"/>
      <c r="BTR5" s="16"/>
      <c r="BTS5" s="16"/>
      <c r="BTT5" s="16"/>
      <c r="BTU5" s="16"/>
      <c r="BTV5" s="16"/>
      <c r="BTW5" s="16"/>
      <c r="BTX5" s="16"/>
      <c r="BTY5" s="16"/>
      <c r="BTZ5" s="16"/>
      <c r="BUA5" s="16"/>
      <c r="BUB5" s="16"/>
      <c r="BUC5" s="16"/>
      <c r="BUD5" s="16"/>
      <c r="BUE5" s="16"/>
      <c r="BUF5" s="16"/>
      <c r="BUG5" s="16"/>
      <c r="BUH5" s="16"/>
      <c r="BUI5" s="16"/>
      <c r="BUJ5" s="16"/>
      <c r="BUK5" s="16"/>
      <c r="BUL5" s="16"/>
      <c r="BUM5" s="16"/>
      <c r="BUN5" s="16"/>
      <c r="BUO5" s="16"/>
      <c r="BUP5" s="16"/>
      <c r="BUQ5" s="16"/>
      <c r="BUR5" s="16"/>
      <c r="BUS5" s="16"/>
      <c r="BUT5" s="16"/>
      <c r="BUU5" s="16"/>
      <c r="BUV5" s="16"/>
      <c r="BUW5" s="16"/>
      <c r="BUX5" s="16"/>
      <c r="BUY5" s="16"/>
      <c r="BUZ5" s="16"/>
      <c r="BVA5" s="16"/>
      <c r="BVB5" s="16"/>
      <c r="BVC5" s="16"/>
      <c r="BVD5" s="16"/>
      <c r="BVE5" s="16"/>
      <c r="BVF5" s="16"/>
      <c r="BVG5" s="16"/>
      <c r="BVH5" s="16"/>
      <c r="BVI5" s="16"/>
      <c r="BVJ5" s="16"/>
      <c r="BVK5" s="16"/>
      <c r="BVL5" s="16"/>
      <c r="BVM5" s="16"/>
      <c r="BVN5" s="16"/>
      <c r="BVO5" s="16"/>
      <c r="BVP5" s="16"/>
      <c r="BVQ5" s="16"/>
      <c r="BVR5" s="16"/>
      <c r="BVS5" s="16"/>
      <c r="BVT5" s="16"/>
      <c r="BVU5" s="16"/>
      <c r="BVV5" s="16"/>
      <c r="BVW5" s="16"/>
      <c r="BVX5" s="16"/>
      <c r="BVY5" s="16"/>
      <c r="BVZ5" s="16"/>
      <c r="BWA5" s="16"/>
      <c r="BWB5" s="16"/>
      <c r="BWC5" s="16"/>
      <c r="BWD5" s="16"/>
      <c r="BWE5" s="16"/>
      <c r="BWF5" s="16"/>
      <c r="BWG5" s="16"/>
      <c r="BWH5" s="16"/>
      <c r="BWI5" s="16"/>
      <c r="BWJ5" s="16"/>
      <c r="BWK5" s="16"/>
      <c r="BWL5" s="16"/>
      <c r="BWM5" s="16"/>
      <c r="BWN5" s="16"/>
      <c r="BWO5" s="16"/>
      <c r="BWP5" s="16"/>
      <c r="BWQ5" s="16"/>
      <c r="BWR5" s="16"/>
      <c r="BWS5" s="16"/>
      <c r="BWT5" s="16"/>
      <c r="BWU5" s="16"/>
      <c r="BWV5" s="16"/>
      <c r="BWW5" s="16"/>
      <c r="BWX5" s="16"/>
      <c r="BWY5" s="16"/>
      <c r="BWZ5" s="16"/>
      <c r="BXA5" s="16"/>
      <c r="BXB5" s="16"/>
      <c r="BXC5" s="16"/>
      <c r="BXD5" s="16"/>
      <c r="BXE5" s="16"/>
      <c r="BXF5" s="16"/>
      <c r="BXG5" s="16"/>
      <c r="BXH5" s="16"/>
      <c r="BXI5" s="16"/>
      <c r="BXJ5" s="16"/>
      <c r="BXK5" s="16"/>
      <c r="BXL5" s="16"/>
      <c r="BXM5" s="16"/>
      <c r="BXN5" s="16"/>
      <c r="BXO5" s="16"/>
      <c r="BXP5" s="16"/>
      <c r="BXQ5" s="16"/>
      <c r="BXR5" s="16"/>
      <c r="BXS5" s="16"/>
      <c r="BXT5" s="16"/>
      <c r="BXU5" s="16"/>
      <c r="BXV5" s="16"/>
      <c r="BXW5" s="16"/>
      <c r="BXX5" s="16"/>
      <c r="BXY5" s="16"/>
      <c r="BXZ5" s="16"/>
      <c r="BYA5" s="16"/>
      <c r="BYB5" s="16"/>
      <c r="BYC5" s="16"/>
      <c r="BYD5" s="16"/>
      <c r="BYE5" s="16"/>
      <c r="BYF5" s="16"/>
      <c r="BYG5" s="16"/>
      <c r="BYH5" s="16"/>
      <c r="BYI5" s="16"/>
      <c r="BYJ5" s="16"/>
      <c r="BYK5" s="16"/>
      <c r="BYL5" s="16"/>
      <c r="BYM5" s="16"/>
      <c r="BYN5" s="16"/>
      <c r="BYO5" s="16"/>
      <c r="BYP5" s="16"/>
      <c r="BYQ5" s="16"/>
      <c r="BYR5" s="16"/>
      <c r="BYS5" s="16"/>
      <c r="BYT5" s="16"/>
      <c r="BYU5" s="16"/>
      <c r="BYV5" s="16"/>
      <c r="BYW5" s="16"/>
      <c r="BYX5" s="16"/>
      <c r="BYY5" s="16"/>
      <c r="BYZ5" s="16"/>
      <c r="BZA5" s="16"/>
      <c r="BZB5" s="16"/>
      <c r="BZC5" s="16"/>
      <c r="BZD5" s="16"/>
      <c r="BZE5" s="16"/>
      <c r="BZF5" s="16"/>
      <c r="BZG5" s="16"/>
      <c r="BZH5" s="16"/>
      <c r="BZI5" s="16"/>
      <c r="BZJ5" s="16"/>
      <c r="BZK5" s="16"/>
      <c r="BZL5" s="16"/>
      <c r="BZM5" s="16"/>
      <c r="BZN5" s="16"/>
      <c r="BZO5" s="16"/>
      <c r="BZP5" s="16"/>
      <c r="BZQ5" s="16"/>
      <c r="BZR5" s="16"/>
      <c r="BZS5" s="16"/>
      <c r="BZT5" s="16"/>
      <c r="BZU5" s="16"/>
      <c r="BZV5" s="16"/>
      <c r="BZW5" s="16"/>
      <c r="BZX5" s="16"/>
      <c r="BZY5" s="16"/>
      <c r="BZZ5" s="16"/>
      <c r="CAA5" s="16"/>
      <c r="CAB5" s="16"/>
      <c r="CAC5" s="16"/>
      <c r="CAD5" s="16"/>
      <c r="CAE5" s="16"/>
      <c r="CAF5" s="16"/>
      <c r="CAG5" s="16"/>
      <c r="CAH5" s="16"/>
      <c r="CAI5" s="16"/>
      <c r="CAJ5" s="16"/>
      <c r="CAK5" s="16"/>
      <c r="CAL5" s="16"/>
      <c r="CAM5" s="16"/>
      <c r="CAN5" s="16"/>
      <c r="CAO5" s="16"/>
      <c r="CAP5" s="16"/>
      <c r="CAQ5" s="16"/>
      <c r="CAR5" s="16"/>
      <c r="CAS5" s="16"/>
      <c r="CAT5" s="16"/>
      <c r="CAU5" s="16"/>
      <c r="CAV5" s="16"/>
      <c r="CAW5" s="16"/>
      <c r="CAX5" s="16"/>
      <c r="CAY5" s="16"/>
      <c r="CAZ5" s="16"/>
      <c r="CBA5" s="16"/>
      <c r="CBB5" s="16"/>
      <c r="CBC5" s="16"/>
      <c r="CBD5" s="16"/>
      <c r="CBE5" s="16"/>
      <c r="CBF5" s="16"/>
      <c r="CBG5" s="16"/>
      <c r="CBH5" s="16"/>
      <c r="CBI5" s="16"/>
      <c r="CBJ5" s="16"/>
      <c r="CBK5" s="16"/>
      <c r="CBL5" s="16"/>
      <c r="CBM5" s="16"/>
      <c r="CBN5" s="16"/>
      <c r="CBO5" s="16"/>
      <c r="CBP5" s="16"/>
      <c r="CBQ5" s="16"/>
      <c r="CBR5" s="16"/>
      <c r="CBS5" s="16"/>
      <c r="CBT5" s="16"/>
      <c r="CBU5" s="16"/>
      <c r="CBV5" s="16"/>
      <c r="CBW5" s="16"/>
      <c r="CBX5" s="16"/>
      <c r="CBY5" s="16"/>
      <c r="CBZ5" s="16"/>
      <c r="CCA5" s="16"/>
      <c r="CCB5" s="16"/>
      <c r="CCC5" s="16"/>
      <c r="CCD5" s="16"/>
      <c r="CCE5" s="16"/>
      <c r="CCF5" s="16"/>
      <c r="CCG5" s="16"/>
      <c r="CCH5" s="16"/>
      <c r="CCI5" s="16"/>
      <c r="CCJ5" s="16"/>
      <c r="CCK5" s="16"/>
      <c r="CCL5" s="16"/>
      <c r="CCM5" s="16"/>
      <c r="CCN5" s="16"/>
      <c r="CCO5" s="16"/>
      <c r="CCP5" s="16"/>
      <c r="CCQ5" s="16"/>
      <c r="CCR5" s="16"/>
      <c r="CCS5" s="16"/>
      <c r="CCT5" s="16"/>
      <c r="CCU5" s="16"/>
      <c r="CCV5" s="16"/>
      <c r="CCW5" s="16"/>
      <c r="CCX5" s="16"/>
      <c r="CCY5" s="16"/>
      <c r="CCZ5" s="16"/>
      <c r="CDA5" s="16"/>
      <c r="CDB5" s="16"/>
      <c r="CDC5" s="16"/>
      <c r="CDD5" s="16"/>
      <c r="CDE5" s="16"/>
      <c r="CDF5" s="16"/>
      <c r="CDG5" s="16"/>
      <c r="CDH5" s="16"/>
      <c r="CDI5" s="16"/>
      <c r="CDJ5" s="16"/>
      <c r="CDK5" s="16"/>
      <c r="CDL5" s="16"/>
      <c r="CDM5" s="16"/>
      <c r="CDN5" s="16"/>
      <c r="CDO5" s="16"/>
      <c r="CDP5" s="16"/>
      <c r="CDQ5" s="16"/>
      <c r="CDR5" s="16"/>
      <c r="CDS5" s="16"/>
      <c r="CDT5" s="16"/>
      <c r="CDU5" s="16"/>
      <c r="CDV5" s="16"/>
      <c r="CDW5" s="16"/>
      <c r="CDX5" s="16"/>
      <c r="CDY5" s="16"/>
      <c r="CDZ5" s="16"/>
      <c r="CEA5" s="16"/>
      <c r="CEB5" s="16"/>
      <c r="CEC5" s="16"/>
      <c r="CED5" s="16"/>
      <c r="CEE5" s="16"/>
      <c r="CEF5" s="16"/>
      <c r="CEG5" s="16"/>
      <c r="CEH5" s="16"/>
      <c r="CEI5" s="16"/>
      <c r="CEJ5" s="16"/>
      <c r="CEK5" s="16"/>
      <c r="CEL5" s="16"/>
      <c r="CEM5" s="16"/>
      <c r="CEN5" s="16"/>
      <c r="CEO5" s="16"/>
      <c r="CEP5" s="16"/>
      <c r="CEQ5" s="16"/>
      <c r="CER5" s="16"/>
      <c r="CES5" s="16"/>
      <c r="CET5" s="16"/>
      <c r="CEU5" s="16"/>
      <c r="CEV5" s="16"/>
      <c r="CEW5" s="16"/>
      <c r="CEX5" s="16"/>
      <c r="CEY5" s="16"/>
      <c r="CEZ5" s="16"/>
      <c r="CFA5" s="16"/>
      <c r="CFB5" s="16"/>
      <c r="CFC5" s="16"/>
      <c r="CFD5" s="16"/>
      <c r="CFE5" s="16"/>
      <c r="CFF5" s="16"/>
      <c r="CFG5" s="16"/>
      <c r="CFH5" s="16"/>
      <c r="CFI5" s="16"/>
      <c r="CFJ5" s="16"/>
      <c r="CFK5" s="16"/>
    </row>
    <row r="6" spans="1:2195" x14ac:dyDescent="0.25">
      <c r="C6" s="16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1</v>
      </c>
      <c r="J6" s="16">
        <v>1</v>
      </c>
      <c r="K6" s="16">
        <v>1</v>
      </c>
      <c r="L6" s="16">
        <v>1</v>
      </c>
      <c r="M6" s="16">
        <v>1</v>
      </c>
      <c r="N6" s="16">
        <v>1</v>
      </c>
      <c r="O6" s="16">
        <v>1</v>
      </c>
      <c r="P6" s="16">
        <v>1</v>
      </c>
      <c r="Q6" s="16">
        <v>1</v>
      </c>
      <c r="R6" s="16">
        <v>1</v>
      </c>
      <c r="S6" s="16">
        <v>1</v>
      </c>
      <c r="T6" s="16">
        <v>1</v>
      </c>
      <c r="U6" s="16">
        <v>1</v>
      </c>
      <c r="V6" s="16">
        <v>1</v>
      </c>
      <c r="W6" s="16">
        <v>1</v>
      </c>
      <c r="X6" s="16">
        <v>1</v>
      </c>
      <c r="Y6" s="16">
        <v>1</v>
      </c>
      <c r="Z6" s="16">
        <v>1</v>
      </c>
    </row>
    <row r="7" spans="1:2195" x14ac:dyDescent="0.25">
      <c r="C7" s="16">
        <v>1</v>
      </c>
      <c r="D7" s="16">
        <v>1</v>
      </c>
      <c r="E7" s="16">
        <v>1</v>
      </c>
      <c r="F7" s="16">
        <v>1</v>
      </c>
      <c r="G7" s="16">
        <v>1</v>
      </c>
      <c r="H7" s="16">
        <v>1</v>
      </c>
      <c r="I7" s="16">
        <v>1</v>
      </c>
      <c r="J7" s="16">
        <v>1</v>
      </c>
      <c r="K7" s="16">
        <v>1</v>
      </c>
      <c r="L7" s="16">
        <v>1</v>
      </c>
      <c r="M7" s="16">
        <v>1</v>
      </c>
      <c r="N7" s="16">
        <v>1</v>
      </c>
      <c r="O7" s="16">
        <v>1</v>
      </c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6">
        <v>1</v>
      </c>
    </row>
    <row r="8" spans="1:2195" x14ac:dyDescent="0.25">
      <c r="C8" s="16">
        <v>1</v>
      </c>
      <c r="D8" s="16">
        <v>1</v>
      </c>
      <c r="E8" s="16">
        <v>1</v>
      </c>
      <c r="F8" s="16">
        <v>1</v>
      </c>
      <c r="G8" s="16">
        <v>1</v>
      </c>
      <c r="H8" s="16">
        <v>1</v>
      </c>
      <c r="I8" s="16">
        <v>1</v>
      </c>
      <c r="J8" s="16">
        <v>1</v>
      </c>
      <c r="K8" s="16">
        <v>1</v>
      </c>
      <c r="L8" s="16">
        <v>1</v>
      </c>
      <c r="M8" s="16">
        <v>1</v>
      </c>
      <c r="N8" s="16">
        <v>1</v>
      </c>
      <c r="O8" s="16">
        <v>1</v>
      </c>
      <c r="P8" s="16">
        <v>1</v>
      </c>
      <c r="Q8" s="16">
        <v>1</v>
      </c>
      <c r="R8" s="16">
        <v>1</v>
      </c>
      <c r="S8" s="16">
        <v>1</v>
      </c>
      <c r="T8" s="16">
        <v>1</v>
      </c>
      <c r="U8" s="16">
        <v>1</v>
      </c>
      <c r="V8" s="16">
        <v>1</v>
      </c>
      <c r="W8" s="16">
        <v>1</v>
      </c>
      <c r="X8" s="16">
        <v>1</v>
      </c>
      <c r="Y8" s="16">
        <v>1</v>
      </c>
      <c r="Z8" s="16">
        <v>1</v>
      </c>
    </row>
    <row r="9" spans="1:2195" x14ac:dyDescent="0.25">
      <c r="C9" s="16">
        <v>1</v>
      </c>
      <c r="D9" s="16">
        <v>1</v>
      </c>
      <c r="E9" s="16">
        <v>1</v>
      </c>
      <c r="F9" s="16">
        <v>1</v>
      </c>
      <c r="G9" s="16">
        <v>1</v>
      </c>
      <c r="H9" s="16">
        <v>1</v>
      </c>
      <c r="I9" s="16">
        <v>1</v>
      </c>
      <c r="J9" s="16">
        <v>1</v>
      </c>
      <c r="K9" s="16">
        <v>1</v>
      </c>
      <c r="L9" s="16">
        <v>1</v>
      </c>
      <c r="M9" s="16">
        <v>1</v>
      </c>
      <c r="N9" s="16">
        <v>1</v>
      </c>
      <c r="O9" s="16">
        <v>1</v>
      </c>
      <c r="P9" s="16">
        <v>1</v>
      </c>
      <c r="Q9" s="16">
        <v>1</v>
      </c>
      <c r="R9" s="16">
        <v>1</v>
      </c>
      <c r="S9" s="16">
        <v>1</v>
      </c>
      <c r="T9" s="16">
        <v>1</v>
      </c>
      <c r="U9" s="16">
        <v>1</v>
      </c>
      <c r="V9" s="16">
        <v>1</v>
      </c>
      <c r="W9" s="16">
        <v>1</v>
      </c>
      <c r="X9" s="16">
        <v>1</v>
      </c>
      <c r="Y9" s="16">
        <v>1</v>
      </c>
      <c r="Z9" s="16">
        <v>1</v>
      </c>
    </row>
    <row r="10" spans="1:2195" x14ac:dyDescent="0.25">
      <c r="C10" s="16">
        <v>1</v>
      </c>
      <c r="D10" s="16">
        <v>1</v>
      </c>
      <c r="E10" s="16">
        <v>1</v>
      </c>
      <c r="F10" s="16">
        <v>1</v>
      </c>
      <c r="G10" s="16">
        <v>1</v>
      </c>
      <c r="H10" s="16">
        <v>1</v>
      </c>
      <c r="I10" s="16">
        <v>1</v>
      </c>
      <c r="J10" s="16">
        <v>1</v>
      </c>
      <c r="K10" s="16">
        <v>1</v>
      </c>
      <c r="L10" s="16">
        <v>1</v>
      </c>
      <c r="M10" s="16">
        <v>1</v>
      </c>
      <c r="N10" s="16">
        <v>1</v>
      </c>
      <c r="O10" s="16">
        <v>1</v>
      </c>
      <c r="P10" s="16">
        <v>1</v>
      </c>
      <c r="Q10" s="16">
        <v>1</v>
      </c>
      <c r="R10" s="16">
        <v>1</v>
      </c>
      <c r="S10" s="16">
        <v>1</v>
      </c>
      <c r="T10" s="16">
        <v>1</v>
      </c>
      <c r="U10" s="16">
        <v>1</v>
      </c>
      <c r="V10" s="16">
        <v>1</v>
      </c>
      <c r="W10" s="16">
        <v>1</v>
      </c>
      <c r="X10" s="16">
        <v>1</v>
      </c>
      <c r="Y10" s="16">
        <v>1</v>
      </c>
      <c r="Z10" s="16">
        <v>1</v>
      </c>
    </row>
    <row r="11" spans="1:2195" x14ac:dyDescent="0.25">
      <c r="C11" s="16">
        <v>1</v>
      </c>
      <c r="D11" s="16">
        <v>1</v>
      </c>
      <c r="E11" s="16">
        <v>1</v>
      </c>
      <c r="F11" s="16">
        <v>1</v>
      </c>
      <c r="G11" s="16">
        <v>1</v>
      </c>
      <c r="H11" s="16">
        <v>1</v>
      </c>
      <c r="I11" s="16">
        <v>1</v>
      </c>
      <c r="J11" s="16">
        <v>1</v>
      </c>
      <c r="K11" s="16">
        <v>1</v>
      </c>
      <c r="L11" s="16">
        <v>1</v>
      </c>
      <c r="M11" s="16">
        <v>1</v>
      </c>
      <c r="N11" s="16">
        <v>1</v>
      </c>
      <c r="O11" s="16">
        <v>1</v>
      </c>
      <c r="P11" s="16">
        <v>1</v>
      </c>
      <c r="Q11" s="16">
        <v>1</v>
      </c>
      <c r="R11" s="16">
        <v>1</v>
      </c>
      <c r="S11" s="16">
        <v>1</v>
      </c>
      <c r="T11" s="16">
        <v>1</v>
      </c>
      <c r="U11" s="16">
        <v>1</v>
      </c>
      <c r="V11" s="16">
        <v>1</v>
      </c>
      <c r="W11" s="16">
        <v>1</v>
      </c>
      <c r="X11" s="16">
        <v>1</v>
      </c>
      <c r="Y11" s="16">
        <v>1</v>
      </c>
      <c r="Z11" s="16">
        <v>1</v>
      </c>
    </row>
    <row r="12" spans="1:2195" x14ac:dyDescent="0.25"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6">
        <v>1</v>
      </c>
      <c r="Q12" s="16">
        <v>1</v>
      </c>
      <c r="R12" s="16">
        <v>1</v>
      </c>
      <c r="S12" s="16">
        <v>1</v>
      </c>
      <c r="T12" s="16">
        <v>1</v>
      </c>
      <c r="U12" s="16">
        <v>1</v>
      </c>
      <c r="V12" s="16">
        <v>1</v>
      </c>
      <c r="W12" s="16">
        <v>1</v>
      </c>
      <c r="X12" s="16">
        <v>1</v>
      </c>
      <c r="Y12" s="16">
        <v>1</v>
      </c>
      <c r="Z12" s="16">
        <v>1</v>
      </c>
    </row>
    <row r="13" spans="1:2195" x14ac:dyDescent="0.25"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K13" s="16">
        <v>1</v>
      </c>
      <c r="L13" s="16">
        <v>1</v>
      </c>
      <c r="M13" s="16">
        <v>1</v>
      </c>
      <c r="N13" s="16">
        <v>1</v>
      </c>
      <c r="O13" s="16">
        <v>1</v>
      </c>
      <c r="P13" s="16">
        <v>1</v>
      </c>
      <c r="Q13" s="16">
        <v>1</v>
      </c>
      <c r="R13" s="16">
        <v>1</v>
      </c>
      <c r="S13" s="16">
        <v>1</v>
      </c>
      <c r="T13" s="16">
        <v>1</v>
      </c>
      <c r="U13" s="16">
        <v>1</v>
      </c>
      <c r="V13" s="16">
        <v>1</v>
      </c>
      <c r="W13" s="16">
        <v>1</v>
      </c>
      <c r="X13" s="16">
        <v>1</v>
      </c>
      <c r="Y13" s="16">
        <v>1</v>
      </c>
      <c r="Z13" s="16">
        <v>1</v>
      </c>
    </row>
    <row r="14" spans="1:2195" x14ac:dyDescent="0.25"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6">
        <v>1</v>
      </c>
      <c r="Q14" s="16">
        <v>1</v>
      </c>
      <c r="R14" s="16">
        <v>1</v>
      </c>
      <c r="S14" s="16">
        <v>1</v>
      </c>
      <c r="T14" s="16">
        <v>1</v>
      </c>
      <c r="U14" s="16">
        <v>1</v>
      </c>
      <c r="V14" s="16">
        <v>1</v>
      </c>
      <c r="W14" s="16">
        <v>1</v>
      </c>
      <c r="X14" s="16">
        <v>1</v>
      </c>
      <c r="Y14" s="16">
        <v>1</v>
      </c>
      <c r="Z14" s="16">
        <v>1</v>
      </c>
    </row>
    <row r="15" spans="1:2195" x14ac:dyDescent="0.25">
      <c r="C15" s="16">
        <v>1</v>
      </c>
      <c r="D15" s="16">
        <v>1</v>
      </c>
      <c r="E15" s="16">
        <v>1</v>
      </c>
      <c r="F15" s="16">
        <v>1</v>
      </c>
      <c r="G15" s="16">
        <v>1</v>
      </c>
      <c r="H15" s="16">
        <v>1</v>
      </c>
      <c r="I15" s="16">
        <v>1</v>
      </c>
      <c r="J15" s="16">
        <v>1</v>
      </c>
      <c r="K15" s="16">
        <v>1</v>
      </c>
      <c r="L15" s="16">
        <v>1</v>
      </c>
      <c r="M15" s="16">
        <v>1</v>
      </c>
      <c r="N15" s="16">
        <v>1</v>
      </c>
      <c r="O15" s="16">
        <v>1</v>
      </c>
      <c r="P15" s="16">
        <v>1</v>
      </c>
      <c r="Q15" s="16">
        <v>1</v>
      </c>
      <c r="R15" s="16">
        <v>1</v>
      </c>
      <c r="S15" s="16">
        <v>1</v>
      </c>
      <c r="T15" s="16">
        <v>1</v>
      </c>
      <c r="U15" s="16">
        <v>1</v>
      </c>
      <c r="V15" s="16">
        <v>1</v>
      </c>
      <c r="W15" s="16">
        <v>1</v>
      </c>
      <c r="X15" s="16">
        <v>1</v>
      </c>
      <c r="Y15" s="16">
        <v>1</v>
      </c>
      <c r="Z15" s="16">
        <v>1</v>
      </c>
    </row>
    <row r="16" spans="1:2195" x14ac:dyDescent="0.25">
      <c r="C16" s="16">
        <v>1</v>
      </c>
      <c r="D16" s="16">
        <v>1</v>
      </c>
      <c r="E16" s="16">
        <v>1</v>
      </c>
      <c r="F16" s="16">
        <v>1</v>
      </c>
      <c r="G16" s="16">
        <v>1</v>
      </c>
      <c r="H16" s="16">
        <v>1</v>
      </c>
      <c r="I16" s="16">
        <v>1</v>
      </c>
      <c r="J16" s="16">
        <v>1</v>
      </c>
      <c r="K16" s="16">
        <v>1</v>
      </c>
      <c r="L16" s="16">
        <v>1</v>
      </c>
      <c r="M16" s="16">
        <v>1</v>
      </c>
      <c r="N16" s="16">
        <v>1</v>
      </c>
      <c r="O16" s="16">
        <v>1</v>
      </c>
      <c r="P16" s="16">
        <v>1</v>
      </c>
      <c r="Q16" s="16">
        <v>1</v>
      </c>
      <c r="R16" s="16">
        <v>1</v>
      </c>
      <c r="S16" s="16">
        <v>1</v>
      </c>
      <c r="T16" s="16">
        <v>1</v>
      </c>
      <c r="U16" s="16">
        <v>1</v>
      </c>
      <c r="V16" s="16">
        <v>1</v>
      </c>
      <c r="W16" s="16">
        <v>1</v>
      </c>
      <c r="X16" s="16">
        <v>1</v>
      </c>
      <c r="Y16" s="16">
        <v>1</v>
      </c>
      <c r="Z16" s="16">
        <v>1</v>
      </c>
    </row>
    <row r="17" spans="3:26" x14ac:dyDescent="0.25">
      <c r="C17" s="16">
        <v>1</v>
      </c>
      <c r="D17" s="16">
        <v>1</v>
      </c>
      <c r="E17" s="16">
        <v>1</v>
      </c>
      <c r="F17" s="16">
        <v>1</v>
      </c>
      <c r="G17" s="16">
        <v>1</v>
      </c>
      <c r="H17" s="16">
        <v>1</v>
      </c>
      <c r="I17" s="16">
        <v>1</v>
      </c>
      <c r="J17" s="16">
        <v>1</v>
      </c>
      <c r="K17" s="16">
        <v>1</v>
      </c>
      <c r="L17" s="16">
        <v>1</v>
      </c>
      <c r="M17" s="16">
        <v>1</v>
      </c>
      <c r="N17" s="16">
        <v>1</v>
      </c>
      <c r="O17" s="16">
        <v>1</v>
      </c>
      <c r="P17" s="16">
        <v>1</v>
      </c>
      <c r="Q17" s="16">
        <v>1</v>
      </c>
      <c r="R17" s="16">
        <v>1</v>
      </c>
      <c r="S17" s="16">
        <v>1</v>
      </c>
      <c r="T17" s="16">
        <v>1</v>
      </c>
      <c r="U17" s="16">
        <v>1</v>
      </c>
      <c r="V17" s="16">
        <v>1</v>
      </c>
      <c r="W17" s="16">
        <v>1</v>
      </c>
      <c r="X17" s="16">
        <v>1</v>
      </c>
      <c r="Y17" s="16">
        <v>1</v>
      </c>
      <c r="Z17" s="16">
        <v>1</v>
      </c>
    </row>
    <row r="18" spans="3:26" x14ac:dyDescent="0.25">
      <c r="C18" s="16">
        <v>1</v>
      </c>
      <c r="D18" s="16">
        <v>1</v>
      </c>
      <c r="E18" s="16">
        <v>1</v>
      </c>
      <c r="F18" s="16">
        <v>1</v>
      </c>
      <c r="G18" s="16">
        <v>1</v>
      </c>
      <c r="H18" s="16">
        <v>1</v>
      </c>
      <c r="I18" s="16">
        <v>1</v>
      </c>
      <c r="J18" s="16">
        <v>1</v>
      </c>
      <c r="K18" s="16">
        <v>1</v>
      </c>
      <c r="L18" s="16">
        <v>1</v>
      </c>
      <c r="M18" s="16">
        <v>1</v>
      </c>
      <c r="N18" s="16">
        <v>1</v>
      </c>
      <c r="O18" s="16">
        <v>1</v>
      </c>
      <c r="P18" s="16">
        <v>1</v>
      </c>
      <c r="Q18" s="16">
        <v>1</v>
      </c>
      <c r="R18" s="16">
        <v>1</v>
      </c>
      <c r="S18" s="16">
        <v>1</v>
      </c>
      <c r="T18" s="16">
        <v>1</v>
      </c>
      <c r="U18" s="16">
        <v>1</v>
      </c>
      <c r="V18" s="16">
        <v>1</v>
      </c>
      <c r="W18" s="16">
        <v>1</v>
      </c>
      <c r="X18" s="16">
        <v>1</v>
      </c>
      <c r="Y18" s="16">
        <v>1</v>
      </c>
      <c r="Z18" s="16">
        <v>1</v>
      </c>
    </row>
    <row r="19" spans="3:26" x14ac:dyDescent="0.25">
      <c r="C19" s="16">
        <v>1</v>
      </c>
      <c r="D19" s="16">
        <v>1</v>
      </c>
      <c r="E19" s="16">
        <v>1</v>
      </c>
      <c r="F19" s="16">
        <v>1</v>
      </c>
      <c r="G19" s="16">
        <v>1</v>
      </c>
      <c r="H19" s="16">
        <v>1</v>
      </c>
      <c r="I19" s="16">
        <v>1</v>
      </c>
      <c r="J19" s="16">
        <v>1</v>
      </c>
      <c r="K19" s="16">
        <v>1</v>
      </c>
      <c r="L19" s="16">
        <v>1</v>
      </c>
      <c r="M19" s="16">
        <v>1</v>
      </c>
      <c r="N19" s="16">
        <v>1</v>
      </c>
      <c r="O19" s="16">
        <v>1</v>
      </c>
      <c r="P19" s="16">
        <v>1</v>
      </c>
      <c r="Q19" s="16">
        <v>1</v>
      </c>
      <c r="R19" s="16">
        <v>1</v>
      </c>
      <c r="S19" s="16">
        <v>1</v>
      </c>
      <c r="T19" s="16">
        <v>1</v>
      </c>
      <c r="U19" s="16">
        <v>1</v>
      </c>
      <c r="V19" s="16">
        <v>1</v>
      </c>
      <c r="W19" s="16">
        <v>1</v>
      </c>
      <c r="X19" s="16">
        <v>1</v>
      </c>
      <c r="Y19" s="16">
        <v>1</v>
      </c>
      <c r="Z19" s="16">
        <v>1</v>
      </c>
    </row>
    <row r="20" spans="3:26" x14ac:dyDescent="0.25">
      <c r="C20" s="16">
        <v>1</v>
      </c>
      <c r="D20" s="16">
        <v>1</v>
      </c>
      <c r="E20" s="16">
        <v>1</v>
      </c>
      <c r="F20" s="16">
        <v>1</v>
      </c>
      <c r="G20" s="16">
        <v>1</v>
      </c>
      <c r="H20" s="16">
        <v>1</v>
      </c>
      <c r="I20" s="16">
        <v>1</v>
      </c>
      <c r="J20" s="16">
        <v>1</v>
      </c>
      <c r="K20" s="16">
        <v>1</v>
      </c>
      <c r="L20" s="16">
        <v>1</v>
      </c>
      <c r="M20" s="16">
        <v>1</v>
      </c>
      <c r="N20" s="16">
        <v>1</v>
      </c>
      <c r="O20" s="16">
        <v>1</v>
      </c>
      <c r="P20" s="16">
        <v>1</v>
      </c>
      <c r="Q20" s="16">
        <v>1</v>
      </c>
      <c r="R20" s="16">
        <v>1</v>
      </c>
      <c r="S20" s="16">
        <v>1</v>
      </c>
      <c r="T20" s="16">
        <v>1</v>
      </c>
      <c r="U20" s="16">
        <v>1</v>
      </c>
      <c r="V20" s="16">
        <v>1</v>
      </c>
      <c r="W20" s="16">
        <v>1</v>
      </c>
      <c r="X20" s="16">
        <v>1</v>
      </c>
      <c r="Y20" s="16">
        <v>1</v>
      </c>
      <c r="Z20" s="16">
        <v>1</v>
      </c>
    </row>
    <row r="21" spans="3:26" x14ac:dyDescent="0.25">
      <c r="C21" s="16">
        <v>1</v>
      </c>
      <c r="D21" s="16">
        <v>1</v>
      </c>
      <c r="E21" s="16">
        <v>1</v>
      </c>
      <c r="F21" s="16">
        <v>1</v>
      </c>
      <c r="G21" s="16">
        <v>1</v>
      </c>
      <c r="H21" s="16">
        <v>1</v>
      </c>
      <c r="I21" s="16">
        <v>1</v>
      </c>
      <c r="J21" s="16">
        <v>1</v>
      </c>
      <c r="K21" s="16">
        <v>1</v>
      </c>
      <c r="L21" s="16">
        <v>1</v>
      </c>
      <c r="M21" s="16">
        <v>1</v>
      </c>
      <c r="N21" s="16">
        <v>1</v>
      </c>
      <c r="O21" s="16">
        <v>1</v>
      </c>
      <c r="P21" s="16">
        <v>1</v>
      </c>
      <c r="Q21" s="16">
        <v>1</v>
      </c>
      <c r="R21" s="16">
        <v>1</v>
      </c>
      <c r="S21" s="16">
        <v>1</v>
      </c>
      <c r="T21" s="16">
        <v>1</v>
      </c>
      <c r="U21" s="16">
        <v>1</v>
      </c>
      <c r="V21" s="16">
        <v>1</v>
      </c>
      <c r="W21" s="16">
        <v>1</v>
      </c>
      <c r="X21" s="16">
        <v>1</v>
      </c>
      <c r="Y21" s="16">
        <v>1</v>
      </c>
      <c r="Z21" s="16">
        <v>1</v>
      </c>
    </row>
    <row r="22" spans="3:26" x14ac:dyDescent="0.25">
      <c r="C22" s="16">
        <v>1</v>
      </c>
      <c r="D22" s="16">
        <v>1</v>
      </c>
      <c r="E22" s="16">
        <v>1</v>
      </c>
      <c r="F22" s="16">
        <v>1</v>
      </c>
      <c r="G22" s="16">
        <v>1</v>
      </c>
      <c r="H22" s="16">
        <v>1</v>
      </c>
      <c r="I22" s="16">
        <v>1</v>
      </c>
      <c r="J22" s="16">
        <v>1</v>
      </c>
      <c r="K22" s="16">
        <v>1</v>
      </c>
      <c r="L22" s="16">
        <v>1</v>
      </c>
      <c r="M22" s="16">
        <v>1</v>
      </c>
      <c r="N22" s="16">
        <v>1</v>
      </c>
      <c r="O22" s="16">
        <v>1</v>
      </c>
      <c r="P22" s="16">
        <v>1</v>
      </c>
      <c r="Q22" s="16">
        <v>1</v>
      </c>
      <c r="R22" s="16">
        <v>1</v>
      </c>
      <c r="S22" s="16">
        <v>1</v>
      </c>
      <c r="T22" s="16">
        <v>1</v>
      </c>
      <c r="U22" s="16">
        <v>1</v>
      </c>
      <c r="V22" s="16">
        <v>1</v>
      </c>
      <c r="W22" s="16">
        <v>1</v>
      </c>
      <c r="X22" s="16">
        <v>1</v>
      </c>
      <c r="Y22" s="16">
        <v>1</v>
      </c>
      <c r="Z22" s="16">
        <v>1</v>
      </c>
    </row>
    <row r="23" spans="3:26" x14ac:dyDescent="0.25">
      <c r="C23" s="16">
        <v>1</v>
      </c>
      <c r="D23" s="16">
        <v>1</v>
      </c>
      <c r="E23" s="16">
        <v>1</v>
      </c>
      <c r="F23" s="16">
        <v>1</v>
      </c>
      <c r="G23" s="16">
        <v>1</v>
      </c>
      <c r="H23" s="16">
        <v>1</v>
      </c>
      <c r="I23" s="16">
        <v>1</v>
      </c>
      <c r="J23" s="16">
        <v>1</v>
      </c>
      <c r="K23" s="16">
        <v>1</v>
      </c>
      <c r="L23" s="16">
        <v>1</v>
      </c>
      <c r="M23" s="16">
        <v>1</v>
      </c>
      <c r="N23" s="16">
        <v>1</v>
      </c>
      <c r="O23" s="16">
        <v>1</v>
      </c>
      <c r="P23" s="16">
        <v>1</v>
      </c>
      <c r="Q23" s="16">
        <v>1</v>
      </c>
      <c r="R23" s="16">
        <v>1</v>
      </c>
      <c r="S23" s="16">
        <v>1</v>
      </c>
      <c r="T23" s="16">
        <v>1</v>
      </c>
      <c r="U23" s="16">
        <v>1</v>
      </c>
      <c r="V23" s="16">
        <v>1</v>
      </c>
      <c r="W23" s="16">
        <v>1</v>
      </c>
      <c r="X23" s="16">
        <v>1</v>
      </c>
      <c r="Y23" s="16">
        <v>1</v>
      </c>
      <c r="Z23" s="16">
        <v>1</v>
      </c>
    </row>
    <row r="24" spans="3:26" x14ac:dyDescent="0.25">
      <c r="C24" s="16">
        <v>1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>
        <v>1</v>
      </c>
      <c r="T24" s="16">
        <v>1</v>
      </c>
      <c r="U24" s="16">
        <v>1</v>
      </c>
      <c r="V24" s="16">
        <v>1</v>
      </c>
      <c r="W24" s="16">
        <v>1</v>
      </c>
      <c r="X24" s="16">
        <v>1</v>
      </c>
      <c r="Y24" s="16">
        <v>1</v>
      </c>
      <c r="Z24" s="16">
        <v>1</v>
      </c>
    </row>
    <row r="25" spans="3:26" x14ac:dyDescent="0.25">
      <c r="C25" s="16">
        <v>1</v>
      </c>
      <c r="D25" s="16">
        <v>1</v>
      </c>
      <c r="E25" s="16">
        <v>1</v>
      </c>
      <c r="F25" s="16">
        <v>1</v>
      </c>
      <c r="G25" s="16">
        <v>1</v>
      </c>
      <c r="H25" s="16">
        <v>1</v>
      </c>
      <c r="I25" s="16">
        <v>1</v>
      </c>
      <c r="J25" s="16">
        <v>1</v>
      </c>
      <c r="K25" s="16">
        <v>1</v>
      </c>
      <c r="L25" s="16">
        <v>1</v>
      </c>
      <c r="M25" s="16">
        <v>1</v>
      </c>
      <c r="N25" s="16">
        <v>1</v>
      </c>
      <c r="O25" s="16">
        <v>1</v>
      </c>
      <c r="P25" s="16">
        <v>1</v>
      </c>
      <c r="Q25" s="16">
        <v>1</v>
      </c>
      <c r="R25" s="16">
        <v>1</v>
      </c>
      <c r="S25" s="16">
        <v>1</v>
      </c>
      <c r="T25" s="16">
        <v>1</v>
      </c>
      <c r="U25" s="16">
        <v>1</v>
      </c>
      <c r="V25" s="16">
        <v>1</v>
      </c>
      <c r="W25" s="16">
        <v>1</v>
      </c>
      <c r="X25" s="16">
        <v>1</v>
      </c>
      <c r="Y25" s="16">
        <v>1</v>
      </c>
      <c r="Z25" s="16">
        <v>1</v>
      </c>
    </row>
    <row r="26" spans="3:26" x14ac:dyDescent="0.25">
      <c r="C26" s="16">
        <v>1</v>
      </c>
      <c r="D26" s="16">
        <v>1</v>
      </c>
      <c r="E26" s="16">
        <v>1</v>
      </c>
      <c r="F26" s="16">
        <v>1</v>
      </c>
      <c r="G26" s="16">
        <v>1</v>
      </c>
      <c r="H26" s="16">
        <v>1</v>
      </c>
      <c r="I26" s="16">
        <v>1</v>
      </c>
      <c r="J26" s="16">
        <v>1</v>
      </c>
      <c r="K26" s="16">
        <v>1</v>
      </c>
      <c r="L26" s="16">
        <v>1</v>
      </c>
      <c r="M26" s="16">
        <v>1</v>
      </c>
      <c r="N26" s="16">
        <v>1</v>
      </c>
      <c r="O26" s="16">
        <v>1</v>
      </c>
      <c r="P26" s="16">
        <v>1</v>
      </c>
      <c r="Q26" s="16">
        <v>1</v>
      </c>
      <c r="R26" s="16">
        <v>1</v>
      </c>
      <c r="S26" s="16">
        <v>1</v>
      </c>
      <c r="T26" s="16">
        <v>1</v>
      </c>
      <c r="U26" s="16">
        <v>1</v>
      </c>
      <c r="V26" s="16">
        <v>1</v>
      </c>
      <c r="W26" s="16">
        <v>1</v>
      </c>
      <c r="X26" s="16">
        <v>1</v>
      </c>
      <c r="Y26" s="16">
        <v>1</v>
      </c>
      <c r="Z26" s="16">
        <v>1</v>
      </c>
    </row>
    <row r="27" spans="3:26" x14ac:dyDescent="0.25">
      <c r="C27" s="16">
        <v>1</v>
      </c>
      <c r="D27" s="16">
        <v>1</v>
      </c>
      <c r="E27" s="16">
        <v>1</v>
      </c>
      <c r="F27" s="16">
        <v>1</v>
      </c>
      <c r="G27" s="16">
        <v>1</v>
      </c>
      <c r="H27" s="16">
        <v>1</v>
      </c>
      <c r="I27" s="16">
        <v>1</v>
      </c>
      <c r="J27" s="16">
        <v>1</v>
      </c>
      <c r="K27" s="16">
        <v>1</v>
      </c>
      <c r="L27" s="16">
        <v>1</v>
      </c>
      <c r="M27" s="16">
        <v>1</v>
      </c>
      <c r="N27" s="16">
        <v>1</v>
      </c>
      <c r="O27" s="16">
        <v>1</v>
      </c>
      <c r="P27" s="16">
        <v>1</v>
      </c>
      <c r="Q27" s="16">
        <v>1</v>
      </c>
      <c r="R27" s="16">
        <v>1</v>
      </c>
      <c r="S27" s="16">
        <v>1</v>
      </c>
      <c r="T27" s="16">
        <v>1</v>
      </c>
      <c r="U27" s="16">
        <v>1</v>
      </c>
      <c r="V27" s="16">
        <v>1</v>
      </c>
      <c r="W27" s="16">
        <v>1</v>
      </c>
      <c r="X27" s="16">
        <v>1</v>
      </c>
      <c r="Y27" s="16">
        <v>1</v>
      </c>
      <c r="Z27" s="16">
        <v>1</v>
      </c>
    </row>
    <row r="28" spans="3:26" x14ac:dyDescent="0.25">
      <c r="C28" s="16">
        <v>1</v>
      </c>
      <c r="D28" s="16">
        <v>1</v>
      </c>
      <c r="E28" s="16">
        <v>1</v>
      </c>
      <c r="F28" s="16">
        <v>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1</v>
      </c>
      <c r="Z28" s="16">
        <v>1</v>
      </c>
    </row>
    <row r="29" spans="3:26" x14ac:dyDescent="0.25">
      <c r="C29" s="16">
        <v>1</v>
      </c>
      <c r="D29" s="16">
        <v>1</v>
      </c>
      <c r="E29" s="16">
        <v>1</v>
      </c>
      <c r="F29" s="16">
        <v>1</v>
      </c>
      <c r="G29" s="16">
        <v>1</v>
      </c>
      <c r="H29" s="16">
        <v>1</v>
      </c>
      <c r="I29" s="16">
        <v>1</v>
      </c>
      <c r="J29" s="16">
        <v>1</v>
      </c>
      <c r="K29" s="16">
        <v>1</v>
      </c>
      <c r="L29" s="16">
        <v>1</v>
      </c>
      <c r="M29" s="16">
        <v>1</v>
      </c>
      <c r="N29" s="16">
        <v>1</v>
      </c>
      <c r="O29" s="16">
        <v>1</v>
      </c>
      <c r="P29" s="16">
        <v>1</v>
      </c>
      <c r="Q29" s="16">
        <v>1</v>
      </c>
      <c r="R29" s="16">
        <v>1</v>
      </c>
      <c r="S29" s="16">
        <v>1</v>
      </c>
      <c r="T29" s="16">
        <v>1</v>
      </c>
      <c r="U29" s="16">
        <v>1</v>
      </c>
      <c r="V29" s="16">
        <v>1</v>
      </c>
      <c r="W29" s="16">
        <v>1</v>
      </c>
      <c r="X29" s="16">
        <v>1</v>
      </c>
      <c r="Y29" s="16">
        <v>1</v>
      </c>
      <c r="Z29" s="16">
        <v>1</v>
      </c>
    </row>
    <row r="30" spans="3:26" x14ac:dyDescent="0.25">
      <c r="C30" s="16">
        <v>1</v>
      </c>
      <c r="D30" s="16">
        <v>1</v>
      </c>
      <c r="E30" s="16">
        <v>1</v>
      </c>
      <c r="F30" s="16">
        <v>1</v>
      </c>
      <c r="G30" s="16">
        <v>1</v>
      </c>
      <c r="H30" s="16">
        <v>1</v>
      </c>
      <c r="I30" s="16">
        <v>1</v>
      </c>
      <c r="J30" s="16">
        <v>1</v>
      </c>
      <c r="K30" s="16">
        <v>1</v>
      </c>
      <c r="L30" s="16">
        <v>1</v>
      </c>
      <c r="M30" s="16">
        <v>1</v>
      </c>
      <c r="N30" s="16">
        <v>1</v>
      </c>
      <c r="O30" s="16">
        <v>1</v>
      </c>
      <c r="P30" s="16">
        <v>1</v>
      </c>
      <c r="Q30" s="16">
        <v>1</v>
      </c>
      <c r="R30" s="16">
        <v>1</v>
      </c>
      <c r="S30" s="16">
        <v>1</v>
      </c>
      <c r="T30" s="16">
        <v>1</v>
      </c>
      <c r="U30" s="16">
        <v>1</v>
      </c>
      <c r="V30" s="16">
        <v>1</v>
      </c>
      <c r="W30" s="16">
        <v>1</v>
      </c>
      <c r="X30" s="16">
        <v>1</v>
      </c>
      <c r="Y30" s="16">
        <v>1</v>
      </c>
      <c r="Z30" s="16">
        <v>1</v>
      </c>
    </row>
    <row r="31" spans="3:26" x14ac:dyDescent="0.25">
      <c r="C31" s="16">
        <v>1</v>
      </c>
      <c r="D31" s="16">
        <v>1</v>
      </c>
      <c r="E31" s="16">
        <v>1</v>
      </c>
      <c r="F31" s="16">
        <v>1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1</v>
      </c>
      <c r="M31" s="16">
        <v>1</v>
      </c>
      <c r="N31" s="16">
        <v>1</v>
      </c>
      <c r="O31" s="16">
        <v>1</v>
      </c>
      <c r="P31" s="16">
        <v>1</v>
      </c>
      <c r="Q31" s="16">
        <v>1</v>
      </c>
      <c r="R31" s="16">
        <v>1</v>
      </c>
      <c r="S31" s="16">
        <v>1</v>
      </c>
      <c r="T31" s="16">
        <v>1</v>
      </c>
      <c r="U31" s="16">
        <v>1</v>
      </c>
      <c r="V31" s="16">
        <v>1</v>
      </c>
      <c r="W31" s="16">
        <v>1</v>
      </c>
      <c r="X31" s="16">
        <v>1</v>
      </c>
      <c r="Y31" s="16">
        <v>1</v>
      </c>
      <c r="Z31" s="16">
        <v>1</v>
      </c>
    </row>
    <row r="32" spans="3:26" x14ac:dyDescent="0.25"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>
        <v>1</v>
      </c>
      <c r="I32" s="16">
        <v>1</v>
      </c>
      <c r="J32" s="16">
        <v>1</v>
      </c>
      <c r="K32" s="16">
        <v>1</v>
      </c>
      <c r="L32" s="16">
        <v>1</v>
      </c>
      <c r="M32" s="16">
        <v>1</v>
      </c>
      <c r="N32" s="16">
        <v>1</v>
      </c>
      <c r="O32" s="16">
        <v>1</v>
      </c>
      <c r="P32" s="16">
        <v>1</v>
      </c>
      <c r="Q32" s="16">
        <v>1</v>
      </c>
      <c r="R32" s="16">
        <v>1</v>
      </c>
      <c r="S32" s="16">
        <v>1</v>
      </c>
      <c r="T32" s="16">
        <v>1</v>
      </c>
      <c r="U32" s="16">
        <v>1</v>
      </c>
      <c r="V32" s="16">
        <v>1</v>
      </c>
      <c r="W32" s="16">
        <v>1</v>
      </c>
      <c r="X32" s="16">
        <v>1</v>
      </c>
      <c r="Y32" s="16">
        <v>1</v>
      </c>
      <c r="Z32" s="16">
        <v>1</v>
      </c>
    </row>
    <row r="33" spans="3:26" x14ac:dyDescent="0.25"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1</v>
      </c>
      <c r="R33" s="16">
        <v>1</v>
      </c>
      <c r="S33" s="16">
        <v>1</v>
      </c>
      <c r="T33" s="16">
        <v>1</v>
      </c>
      <c r="U33" s="16">
        <v>1</v>
      </c>
      <c r="V33" s="16">
        <v>1</v>
      </c>
      <c r="W33" s="16">
        <v>1</v>
      </c>
      <c r="X33" s="16">
        <v>1</v>
      </c>
      <c r="Y33" s="16">
        <v>1</v>
      </c>
      <c r="Z33" s="16">
        <v>1</v>
      </c>
    </row>
    <row r="34" spans="3:26" x14ac:dyDescent="0.25"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1</v>
      </c>
      <c r="Q34" s="16">
        <v>1</v>
      </c>
      <c r="R34" s="16">
        <v>1</v>
      </c>
      <c r="S34" s="16">
        <v>1</v>
      </c>
      <c r="T34" s="16">
        <v>1</v>
      </c>
      <c r="U34" s="16">
        <v>1</v>
      </c>
      <c r="V34" s="16">
        <v>1</v>
      </c>
      <c r="W34" s="16">
        <v>1</v>
      </c>
      <c r="X34" s="16">
        <v>1</v>
      </c>
      <c r="Y34" s="16">
        <v>1</v>
      </c>
      <c r="Z34" s="16">
        <v>1</v>
      </c>
    </row>
    <row r="35" spans="3:26" x14ac:dyDescent="0.25">
      <c r="C35" s="16">
        <v>1</v>
      </c>
      <c r="D35" s="16">
        <v>1</v>
      </c>
      <c r="E35" s="16">
        <v>1</v>
      </c>
      <c r="F35" s="16">
        <v>1</v>
      </c>
      <c r="G35" s="16">
        <v>1</v>
      </c>
      <c r="H35" s="16">
        <v>1</v>
      </c>
      <c r="I35" s="16">
        <v>1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1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</row>
    <row r="36" spans="3:26" x14ac:dyDescent="0.25">
      <c r="C36" s="16">
        <v>1</v>
      </c>
      <c r="D36" s="16">
        <v>1</v>
      </c>
      <c r="E36" s="16">
        <v>1</v>
      </c>
      <c r="F36" s="16">
        <v>1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</row>
    <row r="37" spans="3:26" x14ac:dyDescent="0.25">
      <c r="C37" s="16">
        <v>1</v>
      </c>
      <c r="D37" s="16">
        <v>1</v>
      </c>
      <c r="E37" s="16">
        <v>1</v>
      </c>
      <c r="F37" s="16">
        <v>1</v>
      </c>
      <c r="G37" s="16">
        <v>1</v>
      </c>
      <c r="H37" s="16">
        <v>1</v>
      </c>
      <c r="I37" s="16">
        <v>1</v>
      </c>
      <c r="J37" s="16">
        <v>1</v>
      </c>
      <c r="K37" s="16">
        <v>1</v>
      </c>
      <c r="L37" s="16">
        <v>1</v>
      </c>
      <c r="M37" s="16">
        <v>1</v>
      </c>
      <c r="N37" s="16">
        <v>1</v>
      </c>
      <c r="O37" s="16">
        <v>1</v>
      </c>
      <c r="P37" s="16">
        <v>1</v>
      </c>
      <c r="Q37" s="16">
        <v>1</v>
      </c>
      <c r="R37" s="16">
        <v>1</v>
      </c>
      <c r="S37" s="16">
        <v>1</v>
      </c>
      <c r="T37" s="16">
        <v>1</v>
      </c>
      <c r="U37" s="16">
        <v>1</v>
      </c>
      <c r="V37" s="16">
        <v>1</v>
      </c>
      <c r="W37" s="16">
        <v>1</v>
      </c>
      <c r="X37" s="16">
        <v>1</v>
      </c>
      <c r="Y37" s="16">
        <v>1</v>
      </c>
      <c r="Z37" s="16">
        <v>1</v>
      </c>
    </row>
    <row r="38" spans="3:26" x14ac:dyDescent="0.25">
      <c r="C38" s="16">
        <v>1</v>
      </c>
      <c r="D38" s="16">
        <v>1</v>
      </c>
      <c r="E38" s="16">
        <v>1</v>
      </c>
      <c r="F38" s="16">
        <v>1</v>
      </c>
      <c r="G38" s="16">
        <v>1</v>
      </c>
      <c r="H38" s="16">
        <v>1</v>
      </c>
      <c r="I38" s="16">
        <v>1</v>
      </c>
      <c r="J38" s="16">
        <v>1</v>
      </c>
      <c r="K38" s="16">
        <v>1</v>
      </c>
      <c r="L38" s="16">
        <v>1</v>
      </c>
      <c r="M38" s="16">
        <v>1</v>
      </c>
      <c r="N38" s="16">
        <v>1</v>
      </c>
      <c r="O38" s="16">
        <v>1</v>
      </c>
      <c r="P38" s="16">
        <v>1</v>
      </c>
      <c r="Q38" s="16">
        <v>1</v>
      </c>
      <c r="R38" s="16">
        <v>1</v>
      </c>
      <c r="S38" s="16">
        <v>1</v>
      </c>
      <c r="T38" s="16">
        <v>1</v>
      </c>
      <c r="U38" s="16">
        <v>1</v>
      </c>
      <c r="V38" s="16">
        <v>1</v>
      </c>
      <c r="W38" s="16">
        <v>1</v>
      </c>
      <c r="X38" s="16">
        <v>1</v>
      </c>
      <c r="Y38" s="16">
        <v>1</v>
      </c>
      <c r="Z38" s="16">
        <v>1</v>
      </c>
    </row>
    <row r="39" spans="3:26" x14ac:dyDescent="0.25">
      <c r="C39" s="16">
        <v>1</v>
      </c>
      <c r="D39" s="16">
        <v>1</v>
      </c>
      <c r="E39" s="16">
        <v>1</v>
      </c>
      <c r="F39" s="16">
        <v>1</v>
      </c>
      <c r="G39" s="16">
        <v>1</v>
      </c>
      <c r="H39" s="16">
        <v>1</v>
      </c>
      <c r="I39" s="16">
        <v>1</v>
      </c>
      <c r="J39" s="16">
        <v>1</v>
      </c>
      <c r="K39" s="16">
        <v>1</v>
      </c>
      <c r="L39" s="16">
        <v>1</v>
      </c>
      <c r="M39" s="16">
        <v>1</v>
      </c>
      <c r="N39" s="16">
        <v>1</v>
      </c>
      <c r="O39" s="16">
        <v>1</v>
      </c>
      <c r="P39" s="16">
        <v>1</v>
      </c>
      <c r="Q39" s="16">
        <v>1</v>
      </c>
      <c r="R39" s="16">
        <v>1</v>
      </c>
      <c r="S39" s="16">
        <v>1</v>
      </c>
      <c r="T39" s="16">
        <v>1</v>
      </c>
      <c r="U39" s="16">
        <v>1</v>
      </c>
      <c r="V39" s="16">
        <v>1</v>
      </c>
      <c r="W39" s="16">
        <v>1</v>
      </c>
      <c r="X39" s="16">
        <v>1</v>
      </c>
      <c r="Y39" s="16">
        <v>1</v>
      </c>
      <c r="Z39" s="16">
        <v>1</v>
      </c>
    </row>
    <row r="40" spans="3:26" x14ac:dyDescent="0.25">
      <c r="C40" s="16">
        <v>1</v>
      </c>
      <c r="D40" s="16">
        <v>1</v>
      </c>
      <c r="E40" s="16">
        <v>1</v>
      </c>
      <c r="F40" s="16">
        <v>1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1</v>
      </c>
      <c r="M40" s="16">
        <v>1</v>
      </c>
      <c r="N40" s="16">
        <v>1</v>
      </c>
      <c r="O40" s="16">
        <v>1</v>
      </c>
      <c r="P40" s="16">
        <v>1</v>
      </c>
      <c r="Q40" s="16">
        <v>1</v>
      </c>
      <c r="R40" s="16">
        <v>1</v>
      </c>
      <c r="S40" s="16">
        <v>1</v>
      </c>
      <c r="T40" s="16">
        <v>1</v>
      </c>
      <c r="U40" s="16">
        <v>1</v>
      </c>
      <c r="V40" s="16">
        <v>1</v>
      </c>
      <c r="W40" s="16">
        <v>1</v>
      </c>
      <c r="X40" s="16">
        <v>1</v>
      </c>
      <c r="Y40" s="16">
        <v>1</v>
      </c>
      <c r="Z40" s="16">
        <v>1</v>
      </c>
    </row>
    <row r="41" spans="3:26" x14ac:dyDescent="0.25">
      <c r="C41" s="16">
        <v>1</v>
      </c>
      <c r="D41" s="16">
        <v>1</v>
      </c>
      <c r="E41" s="16">
        <v>1</v>
      </c>
      <c r="F41" s="16">
        <v>1</v>
      </c>
      <c r="G41" s="16">
        <v>1</v>
      </c>
      <c r="H41" s="16">
        <v>1</v>
      </c>
      <c r="I41" s="16">
        <v>1</v>
      </c>
      <c r="J41" s="16">
        <v>1</v>
      </c>
      <c r="K41" s="16">
        <v>1</v>
      </c>
      <c r="L41" s="16">
        <v>1</v>
      </c>
      <c r="M41" s="16">
        <v>1</v>
      </c>
      <c r="N41" s="16">
        <v>1</v>
      </c>
      <c r="O41" s="16">
        <v>1</v>
      </c>
      <c r="P41" s="16">
        <v>1</v>
      </c>
      <c r="Q41" s="16">
        <v>1</v>
      </c>
      <c r="R41" s="16">
        <v>1</v>
      </c>
      <c r="S41" s="16">
        <v>1</v>
      </c>
      <c r="T41" s="16">
        <v>1</v>
      </c>
      <c r="U41" s="16">
        <v>1</v>
      </c>
      <c r="V41" s="16">
        <v>1</v>
      </c>
      <c r="W41" s="16">
        <v>1</v>
      </c>
      <c r="X41" s="16">
        <v>1</v>
      </c>
      <c r="Y41" s="16">
        <v>1</v>
      </c>
      <c r="Z41" s="16">
        <v>1</v>
      </c>
    </row>
    <row r="42" spans="3:26" x14ac:dyDescent="0.25">
      <c r="C42" s="16">
        <v>1</v>
      </c>
      <c r="D42" s="16">
        <v>1</v>
      </c>
      <c r="E42" s="16">
        <v>1</v>
      </c>
      <c r="F42" s="16">
        <v>1</v>
      </c>
      <c r="G42" s="16">
        <v>1</v>
      </c>
      <c r="H42" s="16">
        <v>1</v>
      </c>
      <c r="I42" s="16">
        <v>1</v>
      </c>
      <c r="J42" s="16">
        <v>1</v>
      </c>
      <c r="K42" s="16">
        <v>1</v>
      </c>
      <c r="L42" s="16">
        <v>1</v>
      </c>
      <c r="M42" s="16">
        <v>1</v>
      </c>
      <c r="N42" s="16">
        <v>1</v>
      </c>
      <c r="O42" s="16">
        <v>1</v>
      </c>
      <c r="P42" s="16">
        <v>1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</row>
    <row r="43" spans="3:26" x14ac:dyDescent="0.25">
      <c r="C43" s="16">
        <v>1</v>
      </c>
      <c r="D43" s="16">
        <v>1</v>
      </c>
      <c r="E43" s="16">
        <v>1</v>
      </c>
      <c r="F43" s="16">
        <v>1</v>
      </c>
      <c r="G43" s="16">
        <v>1</v>
      </c>
      <c r="H43" s="16">
        <v>1</v>
      </c>
      <c r="I43" s="16">
        <v>1</v>
      </c>
      <c r="J43" s="16">
        <v>1</v>
      </c>
      <c r="K43" s="16">
        <v>1</v>
      </c>
      <c r="L43" s="16">
        <v>1</v>
      </c>
      <c r="M43" s="16">
        <v>1</v>
      </c>
      <c r="N43" s="16">
        <v>1</v>
      </c>
      <c r="O43" s="16">
        <v>1</v>
      </c>
      <c r="P43" s="16">
        <v>1</v>
      </c>
      <c r="Q43" s="16">
        <v>1</v>
      </c>
      <c r="R43" s="16">
        <v>1</v>
      </c>
      <c r="S43" s="16">
        <v>1</v>
      </c>
      <c r="T43" s="16">
        <v>1</v>
      </c>
      <c r="U43" s="16">
        <v>1</v>
      </c>
      <c r="V43" s="16">
        <v>1</v>
      </c>
      <c r="W43" s="16">
        <v>1</v>
      </c>
      <c r="X43" s="16">
        <v>1</v>
      </c>
      <c r="Y43" s="16">
        <v>1</v>
      </c>
      <c r="Z43" s="16">
        <v>1</v>
      </c>
    </row>
    <row r="44" spans="3:26" x14ac:dyDescent="0.25">
      <c r="C44" s="16">
        <v>1</v>
      </c>
      <c r="D44" s="16">
        <v>1</v>
      </c>
      <c r="E44" s="16">
        <v>1</v>
      </c>
      <c r="F44" s="16">
        <v>1</v>
      </c>
      <c r="G44" s="16">
        <v>1</v>
      </c>
      <c r="H44" s="16">
        <v>1</v>
      </c>
      <c r="I44" s="16">
        <v>1</v>
      </c>
      <c r="J44" s="16">
        <v>1</v>
      </c>
      <c r="K44" s="16">
        <v>1</v>
      </c>
      <c r="L44" s="16">
        <v>1</v>
      </c>
      <c r="M44" s="16">
        <v>1</v>
      </c>
      <c r="N44" s="16">
        <v>1</v>
      </c>
      <c r="O44" s="16">
        <v>1</v>
      </c>
      <c r="P44" s="16">
        <v>1</v>
      </c>
      <c r="Q44" s="16">
        <v>1</v>
      </c>
      <c r="R44" s="16">
        <v>1</v>
      </c>
      <c r="S44" s="16">
        <v>1</v>
      </c>
      <c r="T44" s="16">
        <v>1</v>
      </c>
      <c r="U44" s="16">
        <v>1</v>
      </c>
      <c r="V44" s="16">
        <v>1</v>
      </c>
      <c r="W44" s="16">
        <v>1</v>
      </c>
      <c r="X44" s="16">
        <v>1</v>
      </c>
      <c r="Y44" s="16">
        <v>1</v>
      </c>
      <c r="Z44" s="16">
        <v>1</v>
      </c>
    </row>
    <row r="45" spans="3:26" x14ac:dyDescent="0.25">
      <c r="C45" s="16">
        <v>1</v>
      </c>
      <c r="D45" s="16">
        <v>1</v>
      </c>
      <c r="E45" s="16">
        <v>1</v>
      </c>
      <c r="F45" s="16">
        <v>1</v>
      </c>
      <c r="G45" s="16">
        <v>1</v>
      </c>
      <c r="H45" s="16">
        <v>1</v>
      </c>
      <c r="I45" s="16">
        <v>1</v>
      </c>
      <c r="J45" s="16">
        <v>1</v>
      </c>
      <c r="K45" s="16">
        <v>1</v>
      </c>
      <c r="L45" s="16">
        <v>1</v>
      </c>
      <c r="M45" s="16">
        <v>1</v>
      </c>
      <c r="N45" s="16">
        <v>1</v>
      </c>
      <c r="O45" s="16">
        <v>1</v>
      </c>
      <c r="P45" s="16">
        <v>1</v>
      </c>
      <c r="Q45" s="16">
        <v>1</v>
      </c>
      <c r="R45" s="16">
        <v>1</v>
      </c>
      <c r="S45" s="16">
        <v>1</v>
      </c>
      <c r="T45" s="16">
        <v>1</v>
      </c>
      <c r="U45" s="16">
        <v>1</v>
      </c>
      <c r="V45" s="16">
        <v>1</v>
      </c>
      <c r="W45" s="16">
        <v>1</v>
      </c>
      <c r="X45" s="16">
        <v>1</v>
      </c>
      <c r="Y45" s="16">
        <v>1</v>
      </c>
      <c r="Z45" s="16">
        <v>1</v>
      </c>
    </row>
    <row r="46" spans="3:26" x14ac:dyDescent="0.25">
      <c r="C46" s="16">
        <v>1</v>
      </c>
      <c r="D46" s="16">
        <v>1</v>
      </c>
      <c r="E46" s="16">
        <v>1</v>
      </c>
      <c r="F46" s="16">
        <v>1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1</v>
      </c>
      <c r="U46" s="16">
        <v>1</v>
      </c>
      <c r="V46" s="16">
        <v>1</v>
      </c>
      <c r="W46" s="16">
        <v>1</v>
      </c>
      <c r="X46" s="16">
        <v>1</v>
      </c>
      <c r="Y46" s="16">
        <v>1</v>
      </c>
      <c r="Z46" s="16">
        <v>1</v>
      </c>
    </row>
    <row r="47" spans="3:26" x14ac:dyDescent="0.25">
      <c r="C47" s="16">
        <v>1</v>
      </c>
      <c r="D47" s="16">
        <v>1</v>
      </c>
      <c r="E47" s="16">
        <v>1</v>
      </c>
      <c r="F47" s="16">
        <v>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1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1</v>
      </c>
      <c r="W47" s="16">
        <v>1</v>
      </c>
      <c r="X47" s="16">
        <v>1</v>
      </c>
      <c r="Y47" s="16">
        <v>1</v>
      </c>
      <c r="Z47" s="16">
        <v>1</v>
      </c>
    </row>
    <row r="48" spans="3:26" x14ac:dyDescent="0.25">
      <c r="C48" s="16">
        <v>1</v>
      </c>
      <c r="D48" s="16">
        <v>1</v>
      </c>
      <c r="E48" s="16">
        <v>1</v>
      </c>
      <c r="F48" s="16">
        <v>1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6">
        <v>1</v>
      </c>
      <c r="V48" s="16">
        <v>1</v>
      </c>
      <c r="W48" s="16">
        <v>1</v>
      </c>
      <c r="X48" s="16">
        <v>1</v>
      </c>
      <c r="Y48" s="16">
        <v>1</v>
      </c>
      <c r="Z48" s="16">
        <v>1</v>
      </c>
    </row>
    <row r="49" spans="3:26" x14ac:dyDescent="0.25">
      <c r="C49" s="16">
        <v>1</v>
      </c>
      <c r="D49" s="16">
        <v>1</v>
      </c>
      <c r="E49" s="16">
        <v>1</v>
      </c>
      <c r="F49" s="16">
        <v>1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  <c r="W49" s="16">
        <v>1</v>
      </c>
      <c r="X49" s="16">
        <v>1</v>
      </c>
      <c r="Y49" s="16">
        <v>1</v>
      </c>
      <c r="Z49" s="16">
        <v>1</v>
      </c>
    </row>
    <row r="50" spans="3:26" x14ac:dyDescent="0.25">
      <c r="C50" s="16">
        <v>1</v>
      </c>
      <c r="D50" s="16">
        <v>1</v>
      </c>
      <c r="E50" s="16">
        <v>1</v>
      </c>
      <c r="F50" s="16">
        <v>1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1</v>
      </c>
      <c r="W50" s="16">
        <v>1</v>
      </c>
      <c r="X50" s="16">
        <v>1</v>
      </c>
      <c r="Y50" s="16">
        <v>1</v>
      </c>
      <c r="Z50" s="16">
        <v>1</v>
      </c>
    </row>
    <row r="51" spans="3:26" x14ac:dyDescent="0.25">
      <c r="C51" s="16">
        <v>1</v>
      </c>
      <c r="D51" s="16">
        <v>1</v>
      </c>
      <c r="E51" s="16">
        <v>1</v>
      </c>
      <c r="F51" s="16">
        <v>1</v>
      </c>
      <c r="G51" s="16">
        <v>1</v>
      </c>
      <c r="H51" s="16">
        <v>1</v>
      </c>
      <c r="I51" s="16">
        <v>1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1</v>
      </c>
      <c r="R51" s="16">
        <v>1</v>
      </c>
      <c r="S51" s="16">
        <v>1</v>
      </c>
      <c r="T51" s="16">
        <v>1</v>
      </c>
      <c r="U51" s="16">
        <v>1</v>
      </c>
      <c r="V51" s="16">
        <v>1</v>
      </c>
      <c r="W51" s="16">
        <v>1</v>
      </c>
      <c r="X51" s="16">
        <v>1</v>
      </c>
      <c r="Y51" s="16">
        <v>1</v>
      </c>
      <c r="Z51" s="16">
        <v>1</v>
      </c>
    </row>
    <row r="52" spans="3:26" x14ac:dyDescent="0.25">
      <c r="C52" s="16">
        <v>1</v>
      </c>
      <c r="D52" s="16">
        <v>1</v>
      </c>
      <c r="E52" s="16">
        <v>1</v>
      </c>
      <c r="F52" s="16">
        <v>1</v>
      </c>
      <c r="G52" s="16">
        <v>1</v>
      </c>
      <c r="H52" s="16">
        <v>1</v>
      </c>
      <c r="I52" s="16">
        <v>1</v>
      </c>
      <c r="J52" s="16">
        <v>1</v>
      </c>
      <c r="K52" s="16">
        <v>1</v>
      </c>
      <c r="L52" s="16">
        <v>1</v>
      </c>
      <c r="M52" s="16">
        <v>1</v>
      </c>
      <c r="N52" s="16">
        <v>1</v>
      </c>
      <c r="O52" s="16">
        <v>1</v>
      </c>
      <c r="P52" s="16">
        <v>1</v>
      </c>
      <c r="Q52" s="16">
        <v>1</v>
      </c>
      <c r="R52" s="16">
        <v>1</v>
      </c>
      <c r="S52" s="16">
        <v>1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1</v>
      </c>
    </row>
    <row r="53" spans="3:26" x14ac:dyDescent="0.25">
      <c r="C53" s="16">
        <v>1</v>
      </c>
      <c r="D53" s="16">
        <v>1</v>
      </c>
      <c r="E53" s="16">
        <v>1</v>
      </c>
      <c r="F53" s="16">
        <v>1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6">
        <v>1</v>
      </c>
      <c r="U53" s="16">
        <v>1</v>
      </c>
      <c r="V53" s="16">
        <v>1</v>
      </c>
      <c r="W53" s="16">
        <v>1</v>
      </c>
      <c r="X53" s="16">
        <v>1</v>
      </c>
      <c r="Y53" s="16">
        <v>1</v>
      </c>
      <c r="Z53" s="16">
        <v>1</v>
      </c>
    </row>
    <row r="54" spans="3:26" x14ac:dyDescent="0.25">
      <c r="C54" s="16">
        <v>1</v>
      </c>
      <c r="D54" s="16">
        <v>1</v>
      </c>
      <c r="E54" s="16">
        <v>1</v>
      </c>
      <c r="F54" s="16">
        <v>1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1</v>
      </c>
      <c r="W54" s="16">
        <v>1</v>
      </c>
      <c r="X54" s="16">
        <v>1</v>
      </c>
      <c r="Y54" s="16">
        <v>1</v>
      </c>
      <c r="Z54" s="16">
        <v>1</v>
      </c>
    </row>
    <row r="55" spans="3:26" x14ac:dyDescent="0.25">
      <c r="C55" s="16">
        <v>1</v>
      </c>
      <c r="D55" s="16">
        <v>1</v>
      </c>
      <c r="E55" s="16">
        <v>1</v>
      </c>
      <c r="F55" s="16">
        <v>1</v>
      </c>
      <c r="G55" s="16">
        <v>1</v>
      </c>
      <c r="H55" s="16">
        <v>1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6">
        <v>1</v>
      </c>
      <c r="U55" s="16">
        <v>1</v>
      </c>
      <c r="V55" s="16">
        <v>1</v>
      </c>
      <c r="W55" s="16">
        <v>1</v>
      </c>
      <c r="X55" s="16">
        <v>1</v>
      </c>
      <c r="Y55" s="16">
        <v>1</v>
      </c>
      <c r="Z55" s="16">
        <v>1</v>
      </c>
    </row>
    <row r="56" spans="3:26" x14ac:dyDescent="0.25">
      <c r="C56" s="16">
        <v>1</v>
      </c>
      <c r="D56" s="16">
        <v>1</v>
      </c>
      <c r="E56" s="16">
        <v>1</v>
      </c>
      <c r="F56" s="16">
        <v>1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1</v>
      </c>
      <c r="Y56" s="16">
        <v>1</v>
      </c>
      <c r="Z56" s="16">
        <v>1</v>
      </c>
    </row>
    <row r="57" spans="3:26" x14ac:dyDescent="0.25">
      <c r="C57" s="16">
        <v>1</v>
      </c>
      <c r="D57" s="16">
        <v>1</v>
      </c>
      <c r="E57" s="16">
        <v>1</v>
      </c>
      <c r="F57" s="16">
        <v>1</v>
      </c>
      <c r="G57" s="16">
        <v>1</v>
      </c>
      <c r="H57" s="16">
        <v>1</v>
      </c>
      <c r="I57" s="16">
        <v>1</v>
      </c>
      <c r="J57" s="16">
        <v>1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1</v>
      </c>
      <c r="R57" s="16">
        <v>1</v>
      </c>
      <c r="S57" s="16">
        <v>1</v>
      </c>
      <c r="T57" s="16">
        <v>1</v>
      </c>
      <c r="U57" s="16">
        <v>1</v>
      </c>
      <c r="V57" s="16">
        <v>1</v>
      </c>
      <c r="W57" s="16">
        <v>1</v>
      </c>
      <c r="X57" s="16">
        <v>1</v>
      </c>
      <c r="Y57" s="16">
        <v>1</v>
      </c>
      <c r="Z57" s="16">
        <v>1</v>
      </c>
    </row>
    <row r="58" spans="3:26" x14ac:dyDescent="0.25">
      <c r="C58" s="16">
        <v>1</v>
      </c>
      <c r="D58" s="16">
        <v>1</v>
      </c>
      <c r="E58" s="16">
        <v>1</v>
      </c>
      <c r="F58" s="16">
        <v>1</v>
      </c>
      <c r="G58" s="16">
        <v>1</v>
      </c>
      <c r="H58" s="16">
        <v>1</v>
      </c>
      <c r="I58" s="16">
        <v>1</v>
      </c>
      <c r="J58" s="16">
        <v>1</v>
      </c>
      <c r="K58" s="16">
        <v>1</v>
      </c>
      <c r="L58" s="16">
        <v>1</v>
      </c>
      <c r="M58" s="16">
        <v>1</v>
      </c>
      <c r="N58" s="16">
        <v>1</v>
      </c>
      <c r="O58" s="16">
        <v>1</v>
      </c>
      <c r="P58" s="16">
        <v>1</v>
      </c>
      <c r="Q58" s="16">
        <v>1</v>
      </c>
      <c r="R58" s="16">
        <v>1</v>
      </c>
      <c r="S58" s="16">
        <v>1</v>
      </c>
      <c r="T58" s="16">
        <v>1</v>
      </c>
      <c r="U58" s="16">
        <v>1</v>
      </c>
      <c r="V58" s="16">
        <v>1</v>
      </c>
      <c r="W58" s="16">
        <v>1</v>
      </c>
      <c r="X58" s="16">
        <v>1</v>
      </c>
      <c r="Y58" s="16">
        <v>1</v>
      </c>
      <c r="Z58" s="16">
        <v>1</v>
      </c>
    </row>
    <row r="59" spans="3:26" x14ac:dyDescent="0.25">
      <c r="C59" s="16">
        <v>1</v>
      </c>
      <c r="D59" s="16">
        <v>1</v>
      </c>
      <c r="E59" s="16">
        <v>1</v>
      </c>
      <c r="F59" s="16">
        <v>1</v>
      </c>
      <c r="G59" s="16">
        <v>1</v>
      </c>
      <c r="H59" s="16">
        <v>1</v>
      </c>
      <c r="I59" s="16">
        <v>1</v>
      </c>
      <c r="J59" s="16">
        <v>1</v>
      </c>
      <c r="K59" s="16">
        <v>1</v>
      </c>
      <c r="L59" s="16">
        <v>1</v>
      </c>
      <c r="M59" s="16">
        <v>1</v>
      </c>
      <c r="N59" s="16">
        <v>1</v>
      </c>
      <c r="O59" s="16">
        <v>1</v>
      </c>
      <c r="P59" s="16">
        <v>1</v>
      </c>
      <c r="Q59" s="16">
        <v>1</v>
      </c>
      <c r="R59" s="16">
        <v>1</v>
      </c>
      <c r="S59" s="16">
        <v>1</v>
      </c>
      <c r="T59" s="16">
        <v>1</v>
      </c>
      <c r="U59" s="16">
        <v>1</v>
      </c>
      <c r="V59" s="16">
        <v>1</v>
      </c>
      <c r="W59" s="16">
        <v>1</v>
      </c>
      <c r="X59" s="16">
        <v>1</v>
      </c>
      <c r="Y59" s="16">
        <v>1</v>
      </c>
      <c r="Z59" s="16">
        <v>1</v>
      </c>
    </row>
    <row r="60" spans="3:26" x14ac:dyDescent="0.25">
      <c r="C60" s="16">
        <v>1</v>
      </c>
      <c r="D60" s="16">
        <v>1</v>
      </c>
      <c r="E60" s="16">
        <v>1</v>
      </c>
      <c r="F60" s="16">
        <v>1</v>
      </c>
      <c r="G60" s="16">
        <v>1</v>
      </c>
      <c r="H60" s="16">
        <v>1</v>
      </c>
      <c r="I60" s="16">
        <v>1</v>
      </c>
      <c r="J60" s="16">
        <v>1</v>
      </c>
      <c r="K60" s="16">
        <v>1</v>
      </c>
      <c r="L60" s="16">
        <v>1</v>
      </c>
      <c r="M60" s="16">
        <v>1</v>
      </c>
      <c r="N60" s="16">
        <v>1</v>
      </c>
      <c r="O60" s="16">
        <v>1</v>
      </c>
      <c r="P60" s="16">
        <v>1</v>
      </c>
      <c r="Q60" s="16">
        <v>1</v>
      </c>
      <c r="R60" s="16">
        <v>1</v>
      </c>
      <c r="S60" s="16">
        <v>1</v>
      </c>
      <c r="T60" s="16">
        <v>1</v>
      </c>
      <c r="U60" s="16">
        <v>1</v>
      </c>
      <c r="V60" s="16">
        <v>1</v>
      </c>
      <c r="W60" s="16">
        <v>1</v>
      </c>
      <c r="X60" s="16">
        <v>1</v>
      </c>
      <c r="Y60" s="16">
        <v>1</v>
      </c>
      <c r="Z60" s="16">
        <v>1</v>
      </c>
    </row>
    <row r="61" spans="3:26" x14ac:dyDescent="0.25">
      <c r="C61" s="16">
        <v>1</v>
      </c>
      <c r="D61" s="16">
        <v>1</v>
      </c>
      <c r="E61" s="16">
        <v>1</v>
      </c>
      <c r="F61" s="16">
        <v>1</v>
      </c>
      <c r="G61" s="16">
        <v>1</v>
      </c>
      <c r="H61" s="16">
        <v>1</v>
      </c>
      <c r="I61" s="16">
        <v>1</v>
      </c>
      <c r="J61" s="16">
        <v>1</v>
      </c>
      <c r="K61" s="16">
        <v>1</v>
      </c>
      <c r="L61" s="16">
        <v>1</v>
      </c>
      <c r="M61" s="16">
        <v>1</v>
      </c>
      <c r="N61" s="16">
        <v>1</v>
      </c>
      <c r="O61" s="16">
        <v>1</v>
      </c>
      <c r="P61" s="16">
        <v>1</v>
      </c>
      <c r="Q61" s="16">
        <v>1</v>
      </c>
      <c r="R61" s="16">
        <v>1</v>
      </c>
      <c r="S61" s="16">
        <v>1</v>
      </c>
      <c r="T61" s="1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</row>
    <row r="62" spans="3:26" x14ac:dyDescent="0.25">
      <c r="C62" s="16">
        <v>1</v>
      </c>
      <c r="D62" s="16">
        <v>1</v>
      </c>
      <c r="E62" s="16">
        <v>1</v>
      </c>
      <c r="F62" s="16">
        <v>1</v>
      </c>
      <c r="G62" s="16">
        <v>1</v>
      </c>
      <c r="H62" s="16">
        <v>1</v>
      </c>
      <c r="I62" s="16">
        <v>1</v>
      </c>
      <c r="J62" s="16">
        <v>1</v>
      </c>
      <c r="K62" s="16">
        <v>1</v>
      </c>
      <c r="L62" s="16">
        <v>1</v>
      </c>
      <c r="M62" s="16">
        <v>1</v>
      </c>
      <c r="N62" s="16">
        <v>1</v>
      </c>
      <c r="O62" s="16">
        <v>1</v>
      </c>
      <c r="P62" s="16">
        <v>1</v>
      </c>
      <c r="Q62" s="16">
        <v>1</v>
      </c>
      <c r="R62" s="16">
        <v>1</v>
      </c>
      <c r="S62" s="16">
        <v>1</v>
      </c>
      <c r="T62" s="16">
        <v>1</v>
      </c>
      <c r="U62" s="16">
        <v>1</v>
      </c>
      <c r="V62" s="16">
        <v>1</v>
      </c>
      <c r="W62" s="16">
        <v>1</v>
      </c>
      <c r="X62" s="16">
        <v>1</v>
      </c>
      <c r="Y62" s="16">
        <v>1</v>
      </c>
      <c r="Z62" s="16">
        <v>1</v>
      </c>
    </row>
    <row r="63" spans="3:26" x14ac:dyDescent="0.25">
      <c r="C63" s="16">
        <v>1</v>
      </c>
      <c r="D63" s="16">
        <v>1</v>
      </c>
      <c r="E63" s="16">
        <v>1</v>
      </c>
      <c r="F63" s="16">
        <v>1</v>
      </c>
      <c r="G63" s="16">
        <v>1</v>
      </c>
      <c r="H63" s="16">
        <v>1</v>
      </c>
      <c r="I63" s="16">
        <v>1</v>
      </c>
      <c r="J63" s="16">
        <v>1</v>
      </c>
      <c r="K63" s="16">
        <v>1</v>
      </c>
      <c r="L63" s="16">
        <v>1</v>
      </c>
      <c r="M63" s="16">
        <v>1</v>
      </c>
      <c r="N63" s="16">
        <v>1</v>
      </c>
      <c r="O63" s="16">
        <v>1</v>
      </c>
      <c r="P63" s="16">
        <v>1</v>
      </c>
      <c r="Q63" s="16">
        <v>1</v>
      </c>
      <c r="R63" s="16">
        <v>1</v>
      </c>
      <c r="S63" s="16">
        <v>1</v>
      </c>
      <c r="T63" s="16">
        <v>1</v>
      </c>
      <c r="U63" s="16">
        <v>1</v>
      </c>
      <c r="V63" s="16">
        <v>1</v>
      </c>
      <c r="W63" s="16">
        <v>1</v>
      </c>
      <c r="X63" s="16">
        <v>1</v>
      </c>
      <c r="Y63" s="16">
        <v>1</v>
      </c>
      <c r="Z63" s="16">
        <v>1</v>
      </c>
    </row>
    <row r="64" spans="3:26" x14ac:dyDescent="0.25">
      <c r="C64" s="16">
        <v>1</v>
      </c>
      <c r="D64" s="16">
        <v>1</v>
      </c>
      <c r="E64" s="16">
        <v>1</v>
      </c>
      <c r="F64" s="16">
        <v>1</v>
      </c>
      <c r="G64" s="16">
        <v>1</v>
      </c>
      <c r="H64" s="16">
        <v>1</v>
      </c>
      <c r="I64" s="16">
        <v>1</v>
      </c>
      <c r="J64" s="16">
        <v>1</v>
      </c>
      <c r="K64" s="16">
        <v>1</v>
      </c>
      <c r="L64" s="16">
        <v>1</v>
      </c>
      <c r="M64" s="16">
        <v>1</v>
      </c>
      <c r="N64" s="16">
        <v>1</v>
      </c>
      <c r="O64" s="16">
        <v>1</v>
      </c>
      <c r="P64" s="16">
        <v>1</v>
      </c>
      <c r="Q64" s="16">
        <v>1</v>
      </c>
      <c r="R64" s="16">
        <v>1</v>
      </c>
      <c r="S64" s="16">
        <v>1</v>
      </c>
      <c r="T64" s="16">
        <v>1</v>
      </c>
      <c r="U64" s="16">
        <v>1</v>
      </c>
      <c r="V64" s="16">
        <v>1</v>
      </c>
      <c r="W64" s="16">
        <v>1</v>
      </c>
      <c r="X64" s="16">
        <v>1</v>
      </c>
      <c r="Y64" s="16">
        <v>1</v>
      </c>
      <c r="Z64" s="16">
        <v>1</v>
      </c>
    </row>
  </sheetData>
  <mergeCells count="1">
    <mergeCell ref="B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/>
  <dimension ref="A1:F1300"/>
  <sheetViews>
    <sheetView zoomScale="145" zoomScaleNormal="145" workbookViewId="0">
      <selection activeCell="B4" sqref="B4"/>
    </sheetView>
  </sheetViews>
  <sheetFormatPr defaultColWidth="11.7109375" defaultRowHeight="15.75" x14ac:dyDescent="0.25"/>
  <cols>
    <col min="1" max="1" width="3" style="1" customWidth="1"/>
    <col min="2" max="2" width="13.7109375" style="3" customWidth="1"/>
    <col min="3" max="3" width="25.28515625" style="3" customWidth="1"/>
    <col min="4" max="4" width="17.7109375" style="3" customWidth="1"/>
    <col min="5" max="5" width="19.7109375" style="2" customWidth="1"/>
    <col min="6" max="16384" width="11.7109375" style="2"/>
  </cols>
  <sheetData>
    <row r="1" spans="2:6" s="1" customFormat="1" x14ac:dyDescent="0.25"/>
    <row r="2" spans="2:6" ht="32.450000000000003" customHeight="1" x14ac:dyDescent="0.25">
      <c r="B2" s="52" t="s">
        <v>1</v>
      </c>
      <c r="C2" s="52"/>
      <c r="D2" s="52"/>
      <c r="E2" s="14"/>
      <c r="F2" s="14"/>
    </row>
    <row r="3" spans="2:6" x14ac:dyDescent="0.25">
      <c r="B3" s="4" t="s">
        <v>0</v>
      </c>
      <c r="C3" s="4" t="s">
        <v>40</v>
      </c>
      <c r="D3" s="4" t="s">
        <v>2</v>
      </c>
      <c r="E3" s="4"/>
    </row>
    <row r="4" spans="2:6" x14ac:dyDescent="0.25">
      <c r="B4" s="3">
        <v>0</v>
      </c>
      <c r="C4" s="22">
        <v>11.658254335000001</v>
      </c>
      <c r="D4" s="3">
        <v>0</v>
      </c>
      <c r="F4" s="21"/>
    </row>
    <row r="5" spans="2:6" x14ac:dyDescent="0.25">
      <c r="B5" s="3">
        <v>60</v>
      </c>
      <c r="C5" s="22">
        <v>11.236071734999999</v>
      </c>
      <c r="D5" s="3">
        <v>0</v>
      </c>
    </row>
    <row r="6" spans="2:6" x14ac:dyDescent="0.25">
      <c r="B6" s="3">
        <v>120</v>
      </c>
      <c r="C6" s="22">
        <v>10.808539605</v>
      </c>
      <c r="D6" s="3">
        <v>0</v>
      </c>
    </row>
    <row r="7" spans="2:6" x14ac:dyDescent="0.25">
      <c r="B7" s="3">
        <v>180</v>
      </c>
      <c r="C7" s="22">
        <v>1.6782784605000001</v>
      </c>
      <c r="D7" s="3">
        <v>0</v>
      </c>
    </row>
    <row r="8" spans="2:6" x14ac:dyDescent="0.25">
      <c r="B8" s="3">
        <v>240</v>
      </c>
      <c r="C8" s="22">
        <v>0</v>
      </c>
      <c r="D8" s="3">
        <v>0</v>
      </c>
    </row>
    <row r="9" spans="2:6" x14ac:dyDescent="0.25">
      <c r="B9" s="3">
        <v>300</v>
      </c>
      <c r="C9" s="22">
        <v>0</v>
      </c>
      <c r="D9" s="3">
        <v>0</v>
      </c>
    </row>
    <row r="10" spans="2:6" x14ac:dyDescent="0.25">
      <c r="B10" s="3">
        <v>360</v>
      </c>
      <c r="C10" s="22">
        <v>0</v>
      </c>
      <c r="D10" s="3">
        <v>0</v>
      </c>
    </row>
    <row r="11" spans="2:6" x14ac:dyDescent="0.25">
      <c r="B11" s="3">
        <v>420</v>
      </c>
      <c r="C11" s="22">
        <v>0</v>
      </c>
      <c r="D11" s="3">
        <v>0</v>
      </c>
    </row>
    <row r="12" spans="2:6" x14ac:dyDescent="0.25">
      <c r="B12" s="3">
        <v>480</v>
      </c>
      <c r="C12" s="22">
        <v>0</v>
      </c>
      <c r="D12" s="3">
        <v>0</v>
      </c>
    </row>
    <row r="13" spans="2:6" x14ac:dyDescent="0.25">
      <c r="B13" s="3">
        <v>540</v>
      </c>
      <c r="C13" s="22">
        <v>0</v>
      </c>
      <c r="D13" s="3">
        <v>0</v>
      </c>
    </row>
    <row r="14" spans="2:6" x14ac:dyDescent="0.25">
      <c r="B14" s="3">
        <v>600</v>
      </c>
      <c r="C14" s="22">
        <v>11.35177386</v>
      </c>
      <c r="D14" s="3">
        <v>0</v>
      </c>
    </row>
    <row r="15" spans="2:6" x14ac:dyDescent="0.25">
      <c r="B15" s="3">
        <v>660</v>
      </c>
      <c r="C15" s="22">
        <v>11.47096108</v>
      </c>
      <c r="D15" s="3">
        <v>0</v>
      </c>
    </row>
    <row r="16" spans="2:6" x14ac:dyDescent="0.25">
      <c r="B16" s="3">
        <v>720</v>
      </c>
      <c r="C16" s="22">
        <v>11.52037805</v>
      </c>
      <c r="D16" s="3">
        <v>0</v>
      </c>
    </row>
    <row r="17" spans="2:4" x14ac:dyDescent="0.25">
      <c r="B17" s="3">
        <v>780</v>
      </c>
      <c r="C17" s="22">
        <v>0.77814981699999997</v>
      </c>
      <c r="D17" s="3">
        <v>0</v>
      </c>
    </row>
    <row r="18" spans="2:4" x14ac:dyDescent="0.25">
      <c r="B18" s="3">
        <v>840</v>
      </c>
      <c r="C18" s="22">
        <v>0</v>
      </c>
      <c r="D18" s="3">
        <v>0</v>
      </c>
    </row>
    <row r="19" spans="2:4" x14ac:dyDescent="0.25">
      <c r="B19" s="3">
        <v>900</v>
      </c>
      <c r="C19" s="22">
        <v>0</v>
      </c>
      <c r="D19" s="3">
        <v>0</v>
      </c>
    </row>
    <row r="20" spans="2:4" x14ac:dyDescent="0.25">
      <c r="B20" s="3">
        <v>960</v>
      </c>
      <c r="C20" s="22">
        <v>0</v>
      </c>
      <c r="D20" s="3">
        <v>0</v>
      </c>
    </row>
    <row r="21" spans="2:4" x14ac:dyDescent="0.25">
      <c r="B21" s="3">
        <v>1020</v>
      </c>
      <c r="C21" s="22">
        <v>0</v>
      </c>
      <c r="D21" s="3">
        <v>0</v>
      </c>
    </row>
    <row r="22" spans="2:4" x14ac:dyDescent="0.25">
      <c r="B22" s="3">
        <v>1080</v>
      </c>
      <c r="C22" s="22">
        <v>0</v>
      </c>
      <c r="D22" s="3">
        <v>0</v>
      </c>
    </row>
    <row r="23" spans="2:4" x14ac:dyDescent="0.25">
      <c r="B23" s="3">
        <v>1140</v>
      </c>
      <c r="C23" s="22">
        <v>0</v>
      </c>
      <c r="D23" s="3">
        <v>0</v>
      </c>
    </row>
    <row r="24" spans="2:4" x14ac:dyDescent="0.25">
      <c r="B24" s="3">
        <v>1200</v>
      </c>
      <c r="C24" s="22">
        <v>0</v>
      </c>
      <c r="D24" s="3">
        <v>0</v>
      </c>
    </row>
    <row r="25" spans="2:4" x14ac:dyDescent="0.25">
      <c r="B25" s="3">
        <v>1260</v>
      </c>
      <c r="C25" s="22">
        <v>0</v>
      </c>
      <c r="D25" s="3">
        <v>0</v>
      </c>
    </row>
    <row r="26" spans="2:4" x14ac:dyDescent="0.25">
      <c r="B26" s="3">
        <v>1320</v>
      </c>
      <c r="C26" s="22">
        <v>0</v>
      </c>
      <c r="D26" s="3">
        <v>0</v>
      </c>
    </row>
    <row r="27" spans="2:4" x14ac:dyDescent="0.25">
      <c r="B27" s="3">
        <v>1380</v>
      </c>
      <c r="C27" s="22">
        <v>0</v>
      </c>
      <c r="D27" s="3">
        <v>0</v>
      </c>
    </row>
    <row r="28" spans="2:4" x14ac:dyDescent="0.25">
      <c r="B28" s="3">
        <v>1440</v>
      </c>
      <c r="C28" s="22">
        <v>0</v>
      </c>
      <c r="D28" s="3">
        <v>0</v>
      </c>
    </row>
    <row r="29" spans="2:4" x14ac:dyDescent="0.25">
      <c r="B29" s="3">
        <v>1500</v>
      </c>
      <c r="C29" s="22">
        <v>0</v>
      </c>
      <c r="D29" s="3">
        <v>0</v>
      </c>
    </row>
    <row r="30" spans="2:4" x14ac:dyDescent="0.25">
      <c r="B30" s="3">
        <v>1560</v>
      </c>
      <c r="C30" s="22">
        <v>0</v>
      </c>
      <c r="D30" s="3">
        <v>0</v>
      </c>
    </row>
    <row r="31" spans="2:4" x14ac:dyDescent="0.25">
      <c r="B31" s="3">
        <v>1620</v>
      </c>
      <c r="C31" s="22">
        <v>0</v>
      </c>
      <c r="D31" s="3">
        <v>0</v>
      </c>
    </row>
    <row r="32" spans="2:4" x14ac:dyDescent="0.25">
      <c r="B32" s="3">
        <v>1680</v>
      </c>
      <c r="C32" s="22">
        <v>0</v>
      </c>
      <c r="D32" s="3">
        <v>0</v>
      </c>
    </row>
    <row r="33" spans="2:4" x14ac:dyDescent="0.25">
      <c r="B33" s="3">
        <v>1740</v>
      </c>
      <c r="C33" s="22">
        <v>0</v>
      </c>
      <c r="D33" s="3">
        <v>0</v>
      </c>
    </row>
    <row r="34" spans="2:4" x14ac:dyDescent="0.25">
      <c r="B34" s="3">
        <v>1800</v>
      </c>
      <c r="C34" s="22">
        <v>0</v>
      </c>
      <c r="D34" s="3">
        <v>0</v>
      </c>
    </row>
    <row r="35" spans="2:4" x14ac:dyDescent="0.25">
      <c r="B35" s="3">
        <v>1860</v>
      </c>
      <c r="C35" s="22">
        <v>0</v>
      </c>
      <c r="D35" s="3">
        <v>0</v>
      </c>
    </row>
    <row r="36" spans="2:4" x14ac:dyDescent="0.25">
      <c r="B36" s="3">
        <v>1920</v>
      </c>
      <c r="C36" s="22">
        <v>0</v>
      </c>
      <c r="D36" s="3">
        <v>0</v>
      </c>
    </row>
    <row r="37" spans="2:4" x14ac:dyDescent="0.25">
      <c r="B37" s="3">
        <v>1980</v>
      </c>
      <c r="C37" s="22">
        <v>0</v>
      </c>
      <c r="D37" s="3">
        <v>0</v>
      </c>
    </row>
    <row r="38" spans="2:4" x14ac:dyDescent="0.25">
      <c r="B38" s="3">
        <v>2040</v>
      </c>
      <c r="C38" s="22">
        <v>0</v>
      </c>
      <c r="D38" s="3">
        <v>0</v>
      </c>
    </row>
    <row r="39" spans="2:4" x14ac:dyDescent="0.25">
      <c r="B39" s="3">
        <v>2100</v>
      </c>
      <c r="C39" s="22">
        <v>0</v>
      </c>
      <c r="D39" s="3">
        <v>0</v>
      </c>
    </row>
    <row r="40" spans="2:4" x14ac:dyDescent="0.25">
      <c r="B40" s="3">
        <v>2160</v>
      </c>
      <c r="C40" s="22">
        <v>0</v>
      </c>
      <c r="D40" s="3">
        <v>0</v>
      </c>
    </row>
    <row r="41" spans="2:4" x14ac:dyDescent="0.25">
      <c r="B41" s="3">
        <v>2220</v>
      </c>
      <c r="C41" s="22">
        <v>0</v>
      </c>
      <c r="D41" s="3">
        <v>0</v>
      </c>
    </row>
    <row r="42" spans="2:4" x14ac:dyDescent="0.25">
      <c r="B42" s="3">
        <v>2280</v>
      </c>
      <c r="C42" s="22">
        <v>0</v>
      </c>
      <c r="D42" s="3">
        <v>0</v>
      </c>
    </row>
    <row r="43" spans="2:4" x14ac:dyDescent="0.25">
      <c r="B43" s="3">
        <v>2340</v>
      </c>
      <c r="C43" s="22">
        <v>0</v>
      </c>
      <c r="D43" s="3">
        <v>0</v>
      </c>
    </row>
    <row r="44" spans="2:4" x14ac:dyDescent="0.25">
      <c r="B44" s="3">
        <v>2400</v>
      </c>
      <c r="C44" s="22">
        <v>0</v>
      </c>
      <c r="D44" s="3">
        <v>0</v>
      </c>
    </row>
    <row r="45" spans="2:4" x14ac:dyDescent="0.25">
      <c r="B45" s="3">
        <v>2460</v>
      </c>
      <c r="C45" s="22">
        <v>0</v>
      </c>
      <c r="D45" s="3">
        <v>0</v>
      </c>
    </row>
    <row r="46" spans="2:4" x14ac:dyDescent="0.25">
      <c r="B46" s="3">
        <v>2520</v>
      </c>
      <c r="C46" s="22">
        <v>0</v>
      </c>
      <c r="D46" s="3">
        <v>0</v>
      </c>
    </row>
    <row r="47" spans="2:4" x14ac:dyDescent="0.25">
      <c r="B47" s="3">
        <v>2580</v>
      </c>
      <c r="C47" s="22">
        <v>0</v>
      </c>
      <c r="D47" s="3">
        <v>0</v>
      </c>
    </row>
    <row r="48" spans="2:4" x14ac:dyDescent="0.25">
      <c r="B48" s="3">
        <v>2640</v>
      </c>
      <c r="C48" s="22">
        <v>0</v>
      </c>
      <c r="D48" s="3">
        <v>0</v>
      </c>
    </row>
    <row r="49" spans="2:4" x14ac:dyDescent="0.25">
      <c r="B49" s="3">
        <v>2700</v>
      </c>
      <c r="C49" s="22">
        <v>0</v>
      </c>
      <c r="D49" s="3">
        <v>0</v>
      </c>
    </row>
    <row r="50" spans="2:4" x14ac:dyDescent="0.25">
      <c r="B50" s="3">
        <v>2760</v>
      </c>
      <c r="C50" s="22">
        <v>0</v>
      </c>
      <c r="D50" s="3">
        <v>0</v>
      </c>
    </row>
    <row r="51" spans="2:4" x14ac:dyDescent="0.25">
      <c r="B51" s="3">
        <v>2820</v>
      </c>
      <c r="C51" s="22">
        <v>0</v>
      </c>
      <c r="D51" s="3">
        <v>0</v>
      </c>
    </row>
    <row r="52" spans="2:4" x14ac:dyDescent="0.25">
      <c r="B52" s="3">
        <v>2880</v>
      </c>
      <c r="C52" s="22">
        <v>0</v>
      </c>
      <c r="D52" s="3">
        <v>0</v>
      </c>
    </row>
    <row r="53" spans="2:4" x14ac:dyDescent="0.25">
      <c r="B53" s="3">
        <v>2940</v>
      </c>
      <c r="C53" s="22">
        <v>0</v>
      </c>
      <c r="D53" s="3">
        <v>0</v>
      </c>
    </row>
    <row r="54" spans="2:4" x14ac:dyDescent="0.25">
      <c r="B54" s="3">
        <v>3000</v>
      </c>
      <c r="C54" s="22">
        <v>0</v>
      </c>
      <c r="D54" s="3">
        <v>0</v>
      </c>
    </row>
    <row r="55" spans="2:4" x14ac:dyDescent="0.25">
      <c r="B55" s="3">
        <v>3060</v>
      </c>
      <c r="C55" s="22">
        <v>0</v>
      </c>
      <c r="D55" s="3">
        <v>0</v>
      </c>
    </row>
    <row r="56" spans="2:4" x14ac:dyDescent="0.25">
      <c r="B56" s="3">
        <v>3120</v>
      </c>
      <c r="C56" s="22">
        <v>0</v>
      </c>
      <c r="D56" s="3">
        <v>0</v>
      </c>
    </row>
    <row r="57" spans="2:4" x14ac:dyDescent="0.25">
      <c r="B57" s="3">
        <v>3180</v>
      </c>
      <c r="C57" s="22">
        <v>0</v>
      </c>
      <c r="D57" s="3">
        <v>0</v>
      </c>
    </row>
    <row r="58" spans="2:4" x14ac:dyDescent="0.25">
      <c r="B58" s="3">
        <v>3240</v>
      </c>
      <c r="C58" s="22">
        <v>0</v>
      </c>
      <c r="D58" s="3">
        <v>0</v>
      </c>
    </row>
    <row r="59" spans="2:4" x14ac:dyDescent="0.25">
      <c r="B59" s="3">
        <v>3300</v>
      </c>
      <c r="C59" s="22">
        <v>0</v>
      </c>
      <c r="D59" s="3">
        <v>0</v>
      </c>
    </row>
    <row r="60" spans="2:4" x14ac:dyDescent="0.25">
      <c r="B60" s="3">
        <v>3360</v>
      </c>
      <c r="C60" s="22">
        <v>0</v>
      </c>
      <c r="D60" s="3">
        <v>0</v>
      </c>
    </row>
    <row r="61" spans="2:4" x14ac:dyDescent="0.25">
      <c r="B61" s="3">
        <v>3420</v>
      </c>
      <c r="C61" s="22">
        <v>0</v>
      </c>
      <c r="D61" s="3">
        <v>0</v>
      </c>
    </row>
    <row r="62" spans="2:4" x14ac:dyDescent="0.25">
      <c r="B62" s="3">
        <v>3480</v>
      </c>
      <c r="C62" s="22">
        <v>0</v>
      </c>
      <c r="D62" s="3">
        <v>0</v>
      </c>
    </row>
    <row r="63" spans="2:4" x14ac:dyDescent="0.25">
      <c r="B63" s="3">
        <v>3540</v>
      </c>
      <c r="C63" s="22">
        <v>0</v>
      </c>
      <c r="D63" s="3">
        <v>0</v>
      </c>
    </row>
    <row r="64" spans="2:4" x14ac:dyDescent="0.25">
      <c r="B64" s="3">
        <v>3600</v>
      </c>
      <c r="C64" s="22">
        <v>0</v>
      </c>
      <c r="D64" s="3">
        <v>0</v>
      </c>
    </row>
    <row r="65" spans="2:4" x14ac:dyDescent="0.25">
      <c r="B65" s="3">
        <v>3660</v>
      </c>
      <c r="C65" s="22">
        <v>0</v>
      </c>
      <c r="D65" s="3">
        <v>0</v>
      </c>
    </row>
    <row r="66" spans="2:4" x14ac:dyDescent="0.25">
      <c r="B66" s="3">
        <v>3720</v>
      </c>
      <c r="C66" s="22">
        <v>0</v>
      </c>
      <c r="D66" s="3">
        <v>0</v>
      </c>
    </row>
    <row r="67" spans="2:4" x14ac:dyDescent="0.25">
      <c r="B67" s="3">
        <v>3780</v>
      </c>
      <c r="C67" s="22">
        <v>0</v>
      </c>
      <c r="D67" s="3">
        <v>0</v>
      </c>
    </row>
    <row r="68" spans="2:4" x14ac:dyDescent="0.25">
      <c r="B68" s="3">
        <v>3840</v>
      </c>
      <c r="C68" s="22">
        <v>0</v>
      </c>
      <c r="D68" s="3">
        <v>0</v>
      </c>
    </row>
    <row r="69" spans="2:4" x14ac:dyDescent="0.25">
      <c r="B69" s="3">
        <v>3900</v>
      </c>
      <c r="C69" s="22">
        <v>0</v>
      </c>
      <c r="D69" s="3">
        <v>0</v>
      </c>
    </row>
    <row r="70" spans="2:4" x14ac:dyDescent="0.25">
      <c r="B70" s="3">
        <v>3960</v>
      </c>
      <c r="C70" s="22">
        <v>0</v>
      </c>
      <c r="D70" s="3">
        <v>0</v>
      </c>
    </row>
    <row r="71" spans="2:4" x14ac:dyDescent="0.25">
      <c r="B71" s="3">
        <v>4020</v>
      </c>
      <c r="C71" s="22">
        <v>0</v>
      </c>
      <c r="D71" s="3">
        <v>0</v>
      </c>
    </row>
    <row r="72" spans="2:4" x14ac:dyDescent="0.25">
      <c r="B72" s="3">
        <v>4080</v>
      </c>
      <c r="C72" s="22">
        <v>0</v>
      </c>
      <c r="D72" s="3">
        <v>0</v>
      </c>
    </row>
    <row r="73" spans="2:4" x14ac:dyDescent="0.25">
      <c r="B73" s="3">
        <v>4140</v>
      </c>
      <c r="C73" s="22">
        <v>0</v>
      </c>
      <c r="D73" s="3">
        <v>0</v>
      </c>
    </row>
    <row r="74" spans="2:4" x14ac:dyDescent="0.25">
      <c r="B74" s="3">
        <v>4200</v>
      </c>
      <c r="C74" s="22">
        <v>0</v>
      </c>
      <c r="D74" s="3">
        <v>0</v>
      </c>
    </row>
    <row r="75" spans="2:4" x14ac:dyDescent="0.25">
      <c r="B75" s="3">
        <v>4260</v>
      </c>
      <c r="C75" s="22">
        <v>0</v>
      </c>
      <c r="D75" s="3">
        <v>0</v>
      </c>
    </row>
    <row r="76" spans="2:4" x14ac:dyDescent="0.25">
      <c r="B76" s="3">
        <v>4320</v>
      </c>
      <c r="C76" s="22">
        <v>0</v>
      </c>
      <c r="D76" s="3">
        <v>0</v>
      </c>
    </row>
    <row r="77" spans="2:4" x14ac:dyDescent="0.25">
      <c r="B77" s="3">
        <v>4380</v>
      </c>
      <c r="C77" s="22">
        <v>0</v>
      </c>
      <c r="D77" s="3">
        <v>0</v>
      </c>
    </row>
    <row r="78" spans="2:4" x14ac:dyDescent="0.25">
      <c r="B78" s="3">
        <v>4440</v>
      </c>
      <c r="C78" s="22">
        <v>0</v>
      </c>
      <c r="D78" s="3">
        <v>0</v>
      </c>
    </row>
    <row r="79" spans="2:4" x14ac:dyDescent="0.25">
      <c r="B79" s="3">
        <v>4500</v>
      </c>
      <c r="C79" s="22">
        <v>0</v>
      </c>
      <c r="D79" s="3">
        <v>0</v>
      </c>
    </row>
    <row r="80" spans="2:4" x14ac:dyDescent="0.25">
      <c r="B80" s="3">
        <v>4560</v>
      </c>
      <c r="C80" s="22">
        <v>0</v>
      </c>
      <c r="D80" s="3">
        <v>0</v>
      </c>
    </row>
    <row r="81" spans="2:4" x14ac:dyDescent="0.25">
      <c r="B81" s="3">
        <v>4620</v>
      </c>
      <c r="C81" s="22">
        <v>0</v>
      </c>
      <c r="D81" s="3">
        <v>0</v>
      </c>
    </row>
    <row r="82" spans="2:4" x14ac:dyDescent="0.25">
      <c r="B82" s="3">
        <v>4680</v>
      </c>
      <c r="C82" s="22">
        <v>0</v>
      </c>
      <c r="D82" s="3">
        <v>0</v>
      </c>
    </row>
    <row r="83" spans="2:4" x14ac:dyDescent="0.25">
      <c r="B83" s="3">
        <v>4740</v>
      </c>
      <c r="C83" s="22">
        <v>0</v>
      </c>
      <c r="D83" s="3">
        <v>0</v>
      </c>
    </row>
    <row r="84" spans="2:4" x14ac:dyDescent="0.25">
      <c r="B84" s="3">
        <v>4800</v>
      </c>
      <c r="C84" s="22">
        <v>0</v>
      </c>
      <c r="D84" s="3">
        <v>0</v>
      </c>
    </row>
    <row r="85" spans="2:4" x14ac:dyDescent="0.25">
      <c r="B85" s="3">
        <v>4860</v>
      </c>
      <c r="C85" s="22">
        <v>0</v>
      </c>
      <c r="D85" s="3">
        <v>0</v>
      </c>
    </row>
    <row r="86" spans="2:4" x14ac:dyDescent="0.25">
      <c r="B86" s="3">
        <v>4920</v>
      </c>
      <c r="C86" s="22">
        <v>0</v>
      </c>
      <c r="D86" s="3">
        <v>0</v>
      </c>
    </row>
    <row r="87" spans="2:4" x14ac:dyDescent="0.25">
      <c r="B87" s="3">
        <v>4980</v>
      </c>
      <c r="C87" s="22">
        <v>0</v>
      </c>
      <c r="D87" s="3">
        <v>0</v>
      </c>
    </row>
    <row r="88" spans="2:4" x14ac:dyDescent="0.25">
      <c r="B88" s="3">
        <v>5040</v>
      </c>
      <c r="C88" s="22">
        <v>9.5205759944999997</v>
      </c>
      <c r="D88" s="3">
        <v>0</v>
      </c>
    </row>
    <row r="89" spans="2:4" x14ac:dyDescent="0.25">
      <c r="B89" s="3">
        <v>5100</v>
      </c>
      <c r="C89" s="22">
        <v>11.167365025000001</v>
      </c>
      <c r="D89" s="3">
        <v>0</v>
      </c>
    </row>
    <row r="90" spans="2:4" x14ac:dyDescent="0.25">
      <c r="B90" s="3">
        <v>5160</v>
      </c>
      <c r="C90" s="22">
        <v>22.243256564999999</v>
      </c>
      <c r="D90" s="3">
        <v>0</v>
      </c>
    </row>
    <row r="91" spans="2:4" x14ac:dyDescent="0.25">
      <c r="B91" s="3">
        <v>5220</v>
      </c>
      <c r="C91" s="22">
        <v>3.1255045324999999</v>
      </c>
      <c r="D91" s="3">
        <v>0</v>
      </c>
    </row>
    <row r="92" spans="2:4" x14ac:dyDescent="0.25">
      <c r="B92" s="3">
        <v>5280</v>
      </c>
      <c r="C92" s="22">
        <v>0</v>
      </c>
      <c r="D92" s="3">
        <v>0</v>
      </c>
    </row>
    <row r="93" spans="2:4" x14ac:dyDescent="0.25">
      <c r="B93" s="3">
        <v>5340</v>
      </c>
      <c r="C93" s="22">
        <v>0</v>
      </c>
      <c r="D93" s="3">
        <v>0</v>
      </c>
    </row>
    <row r="94" spans="2:4" x14ac:dyDescent="0.25">
      <c r="B94" s="3">
        <v>5400</v>
      </c>
      <c r="C94" s="22">
        <v>0</v>
      </c>
      <c r="D94" s="3">
        <v>0</v>
      </c>
    </row>
    <row r="95" spans="2:4" x14ac:dyDescent="0.25">
      <c r="B95" s="3">
        <v>5460</v>
      </c>
      <c r="C95" s="22">
        <v>0</v>
      </c>
      <c r="D95" s="3">
        <v>0</v>
      </c>
    </row>
    <row r="96" spans="2:4" x14ac:dyDescent="0.25">
      <c r="B96" s="3">
        <v>5520</v>
      </c>
      <c r="C96" s="22">
        <v>0</v>
      </c>
      <c r="D96" s="3">
        <v>0</v>
      </c>
    </row>
    <row r="97" spans="2:4" x14ac:dyDescent="0.25">
      <c r="B97" s="3">
        <v>5580</v>
      </c>
      <c r="C97" s="22">
        <v>0</v>
      </c>
      <c r="D97" s="3">
        <v>0</v>
      </c>
    </row>
    <row r="98" spans="2:4" x14ac:dyDescent="0.25">
      <c r="B98" s="3">
        <v>5640</v>
      </c>
      <c r="C98" s="22">
        <v>0</v>
      </c>
      <c r="D98" s="3">
        <v>0</v>
      </c>
    </row>
    <row r="99" spans="2:4" x14ac:dyDescent="0.25">
      <c r="B99" s="3">
        <v>5700</v>
      </c>
      <c r="C99" s="22">
        <v>11.84694724</v>
      </c>
      <c r="D99" s="3">
        <v>0</v>
      </c>
    </row>
    <row r="100" spans="2:4" x14ac:dyDescent="0.25">
      <c r="B100" s="3">
        <v>5760</v>
      </c>
      <c r="C100" s="22">
        <v>11.698491564999999</v>
      </c>
      <c r="D100" s="3">
        <v>0</v>
      </c>
    </row>
    <row r="101" spans="2:4" x14ac:dyDescent="0.25">
      <c r="B101" s="3">
        <v>5820</v>
      </c>
      <c r="C101" s="22">
        <v>0.4115013555</v>
      </c>
      <c r="D101" s="3">
        <v>0</v>
      </c>
    </row>
    <row r="102" spans="2:4" x14ac:dyDescent="0.25">
      <c r="B102" s="3">
        <v>5880</v>
      </c>
      <c r="C102" s="22">
        <v>0</v>
      </c>
      <c r="D102" s="3">
        <v>0</v>
      </c>
    </row>
    <row r="103" spans="2:4" x14ac:dyDescent="0.25">
      <c r="B103" s="3">
        <v>5940</v>
      </c>
      <c r="C103" s="22">
        <v>0</v>
      </c>
      <c r="D103" s="3">
        <v>0</v>
      </c>
    </row>
    <row r="104" spans="2:4" x14ac:dyDescent="0.25">
      <c r="B104" s="3">
        <v>6000</v>
      </c>
      <c r="C104" s="22">
        <v>0</v>
      </c>
      <c r="D104" s="3">
        <v>0</v>
      </c>
    </row>
    <row r="105" spans="2:4" x14ac:dyDescent="0.25">
      <c r="B105" s="3">
        <v>6060</v>
      </c>
      <c r="C105" s="22">
        <v>0</v>
      </c>
      <c r="D105" s="3">
        <v>0</v>
      </c>
    </row>
    <row r="106" spans="2:4" x14ac:dyDescent="0.25">
      <c r="B106" s="3">
        <v>6120</v>
      </c>
      <c r="C106" s="22">
        <v>0</v>
      </c>
      <c r="D106" s="3">
        <v>0</v>
      </c>
    </row>
    <row r="107" spans="2:4" x14ac:dyDescent="0.25">
      <c r="B107" s="3">
        <v>6180</v>
      </c>
      <c r="C107" s="22">
        <v>0</v>
      </c>
      <c r="D107" s="3">
        <v>0</v>
      </c>
    </row>
    <row r="108" spans="2:4" x14ac:dyDescent="0.25">
      <c r="B108" s="3">
        <v>6240</v>
      </c>
      <c r="C108" s="22">
        <v>0</v>
      </c>
      <c r="D108" s="3">
        <v>0</v>
      </c>
    </row>
    <row r="109" spans="2:4" x14ac:dyDescent="0.25">
      <c r="B109" s="3">
        <v>6300</v>
      </c>
      <c r="C109" s="22">
        <v>0</v>
      </c>
      <c r="D109" s="3">
        <v>0</v>
      </c>
    </row>
    <row r="110" spans="2:4" x14ac:dyDescent="0.25">
      <c r="B110" s="3">
        <v>6360</v>
      </c>
      <c r="C110" s="22">
        <v>0</v>
      </c>
      <c r="D110" s="3">
        <v>0</v>
      </c>
    </row>
    <row r="111" spans="2:4" x14ac:dyDescent="0.25">
      <c r="B111" s="3">
        <v>6420</v>
      </c>
      <c r="C111" s="22">
        <v>0</v>
      </c>
      <c r="D111" s="3">
        <v>0</v>
      </c>
    </row>
    <row r="112" spans="2:4" x14ac:dyDescent="0.25">
      <c r="B112" s="3">
        <v>6480</v>
      </c>
      <c r="C112" s="22">
        <v>0</v>
      </c>
      <c r="D112" s="3">
        <v>0</v>
      </c>
    </row>
    <row r="113" spans="2:4" x14ac:dyDescent="0.25">
      <c r="B113" s="3">
        <v>6540</v>
      </c>
      <c r="C113" s="22">
        <v>0</v>
      </c>
      <c r="D113" s="3">
        <v>0</v>
      </c>
    </row>
    <row r="114" spans="2:4" x14ac:dyDescent="0.25">
      <c r="B114" s="3">
        <v>6600</v>
      </c>
      <c r="C114" s="22">
        <v>0</v>
      </c>
      <c r="D114" s="3">
        <v>0</v>
      </c>
    </row>
    <row r="115" spans="2:4" x14ac:dyDescent="0.25">
      <c r="B115" s="3">
        <v>6660</v>
      </c>
      <c r="C115" s="22">
        <v>0</v>
      </c>
      <c r="D115" s="3">
        <v>0</v>
      </c>
    </row>
    <row r="116" spans="2:4" x14ac:dyDescent="0.25">
      <c r="B116" s="3">
        <v>6720</v>
      </c>
      <c r="C116" s="22">
        <v>0</v>
      </c>
      <c r="D116" s="3">
        <v>0</v>
      </c>
    </row>
    <row r="117" spans="2:4" x14ac:dyDescent="0.25">
      <c r="B117" s="3">
        <v>6780</v>
      </c>
      <c r="C117" s="22">
        <v>0</v>
      </c>
      <c r="D117" s="3">
        <v>0</v>
      </c>
    </row>
    <row r="118" spans="2:4" x14ac:dyDescent="0.25">
      <c r="B118" s="3">
        <v>6840</v>
      </c>
      <c r="C118" s="22">
        <v>0</v>
      </c>
      <c r="D118" s="3">
        <v>0</v>
      </c>
    </row>
    <row r="119" spans="2:4" x14ac:dyDescent="0.25">
      <c r="B119" s="3">
        <v>6900</v>
      </c>
      <c r="C119" s="22">
        <v>0</v>
      </c>
      <c r="D119" s="3">
        <v>0</v>
      </c>
    </row>
    <row r="120" spans="2:4" x14ac:dyDescent="0.25">
      <c r="B120" s="3">
        <v>6960</v>
      </c>
      <c r="C120" s="22">
        <v>0</v>
      </c>
      <c r="D120" s="3">
        <v>0</v>
      </c>
    </row>
    <row r="121" spans="2:4" x14ac:dyDescent="0.25">
      <c r="B121" s="3">
        <v>7020</v>
      </c>
      <c r="C121" s="22">
        <v>0</v>
      </c>
      <c r="D121" s="3">
        <v>0</v>
      </c>
    </row>
    <row r="122" spans="2:4" x14ac:dyDescent="0.25">
      <c r="B122" s="3">
        <v>7080</v>
      </c>
      <c r="C122" s="22">
        <v>0</v>
      </c>
      <c r="D122" s="3">
        <v>0</v>
      </c>
    </row>
    <row r="123" spans="2:4" x14ac:dyDescent="0.25">
      <c r="B123" s="3">
        <v>7140</v>
      </c>
      <c r="C123" s="22">
        <v>0</v>
      </c>
      <c r="D123" s="3">
        <v>0</v>
      </c>
    </row>
    <row r="124" spans="2:4" x14ac:dyDescent="0.25">
      <c r="B124" s="3">
        <v>7200</v>
      </c>
      <c r="C124" s="22">
        <v>0</v>
      </c>
      <c r="D124" s="3">
        <v>0</v>
      </c>
    </row>
    <row r="125" spans="2:4" x14ac:dyDescent="0.25">
      <c r="B125" s="3">
        <v>7260</v>
      </c>
      <c r="C125" s="22">
        <v>0</v>
      </c>
      <c r="D125" s="3">
        <v>0</v>
      </c>
    </row>
    <row r="126" spans="2:4" x14ac:dyDescent="0.25">
      <c r="B126" s="3">
        <v>7320</v>
      </c>
      <c r="C126" s="22">
        <v>0</v>
      </c>
      <c r="D126" s="3">
        <v>0</v>
      </c>
    </row>
    <row r="127" spans="2:4" x14ac:dyDescent="0.25">
      <c r="B127" s="3">
        <v>7380</v>
      </c>
      <c r="C127" s="22">
        <v>0</v>
      </c>
      <c r="D127" s="3">
        <v>0</v>
      </c>
    </row>
    <row r="128" spans="2:4" x14ac:dyDescent="0.25">
      <c r="B128" s="3">
        <v>7440</v>
      </c>
      <c r="C128" s="22">
        <v>0</v>
      </c>
      <c r="D128" s="3">
        <v>0</v>
      </c>
    </row>
    <row r="129" spans="2:4" x14ac:dyDescent="0.25">
      <c r="B129" s="3">
        <v>7500</v>
      </c>
      <c r="C129" s="22">
        <v>0</v>
      </c>
      <c r="D129" s="3">
        <v>0</v>
      </c>
    </row>
    <row r="130" spans="2:4" x14ac:dyDescent="0.25">
      <c r="B130" s="3">
        <v>7560</v>
      </c>
      <c r="C130" s="22">
        <v>0</v>
      </c>
      <c r="D130" s="3">
        <v>0</v>
      </c>
    </row>
    <row r="131" spans="2:4" x14ac:dyDescent="0.25">
      <c r="B131" s="3">
        <v>7620</v>
      </c>
      <c r="C131" s="22">
        <v>0</v>
      </c>
      <c r="D131" s="3">
        <v>0</v>
      </c>
    </row>
    <row r="132" spans="2:4" x14ac:dyDescent="0.25">
      <c r="B132" s="3">
        <v>7680</v>
      </c>
      <c r="C132" s="22">
        <v>0</v>
      </c>
      <c r="D132" s="3">
        <v>0</v>
      </c>
    </row>
    <row r="133" spans="2:4" x14ac:dyDescent="0.25">
      <c r="B133" s="3">
        <v>7740</v>
      </c>
      <c r="C133" s="22">
        <v>0</v>
      </c>
      <c r="D133" s="3">
        <v>0</v>
      </c>
    </row>
    <row r="134" spans="2:4" x14ac:dyDescent="0.25">
      <c r="B134" s="3">
        <v>7800</v>
      </c>
      <c r="C134" s="22">
        <v>0</v>
      </c>
      <c r="D134" s="3">
        <v>0</v>
      </c>
    </row>
    <row r="135" spans="2:4" x14ac:dyDescent="0.25">
      <c r="B135" s="3">
        <v>7860</v>
      </c>
      <c r="C135" s="22">
        <v>0</v>
      </c>
      <c r="D135" s="3">
        <v>0</v>
      </c>
    </row>
    <row r="136" spans="2:4" x14ac:dyDescent="0.25">
      <c r="B136" s="3">
        <v>7920</v>
      </c>
      <c r="C136" s="22">
        <v>0</v>
      </c>
      <c r="D136" s="3">
        <v>0</v>
      </c>
    </row>
    <row r="137" spans="2:4" x14ac:dyDescent="0.25">
      <c r="B137" s="3">
        <v>7980</v>
      </c>
      <c r="C137" s="22">
        <v>0</v>
      </c>
      <c r="D137" s="3">
        <v>0</v>
      </c>
    </row>
    <row r="138" spans="2:4" x14ac:dyDescent="0.25">
      <c r="B138" s="3">
        <v>8040</v>
      </c>
      <c r="C138" s="22">
        <v>0</v>
      </c>
      <c r="D138" s="3">
        <v>0</v>
      </c>
    </row>
    <row r="139" spans="2:4" x14ac:dyDescent="0.25">
      <c r="B139" s="3">
        <v>8100</v>
      </c>
      <c r="C139" s="22">
        <v>0</v>
      </c>
      <c r="D139" s="3">
        <v>0</v>
      </c>
    </row>
    <row r="140" spans="2:4" x14ac:dyDescent="0.25">
      <c r="B140" s="3">
        <v>8160</v>
      </c>
      <c r="C140" s="22">
        <v>0</v>
      </c>
      <c r="D140" s="3">
        <v>0</v>
      </c>
    </row>
    <row r="141" spans="2:4" x14ac:dyDescent="0.25">
      <c r="B141" s="3">
        <v>8220</v>
      </c>
      <c r="C141" s="22">
        <v>0</v>
      </c>
      <c r="D141" s="3">
        <v>0</v>
      </c>
    </row>
    <row r="142" spans="2:4" x14ac:dyDescent="0.25">
      <c r="B142" s="3">
        <v>8280</v>
      </c>
      <c r="C142" s="22">
        <v>0</v>
      </c>
      <c r="D142" s="3">
        <v>0</v>
      </c>
    </row>
    <row r="143" spans="2:4" x14ac:dyDescent="0.25">
      <c r="B143" s="3">
        <v>8340</v>
      </c>
      <c r="C143" s="22">
        <v>0</v>
      </c>
      <c r="D143" s="3">
        <v>0</v>
      </c>
    </row>
    <row r="144" spans="2:4" x14ac:dyDescent="0.25">
      <c r="B144" s="3">
        <v>8400</v>
      </c>
      <c r="C144" s="22">
        <v>0</v>
      </c>
      <c r="D144" s="3">
        <v>0</v>
      </c>
    </row>
    <row r="145" spans="2:4" x14ac:dyDescent="0.25">
      <c r="B145" s="3">
        <v>8460</v>
      </c>
      <c r="C145" s="22">
        <v>0</v>
      </c>
      <c r="D145" s="3">
        <v>0</v>
      </c>
    </row>
    <row r="146" spans="2:4" x14ac:dyDescent="0.25">
      <c r="B146" s="3">
        <v>8520</v>
      </c>
      <c r="C146" s="22">
        <v>0</v>
      </c>
      <c r="D146" s="3">
        <v>0</v>
      </c>
    </row>
    <row r="147" spans="2:4" x14ac:dyDescent="0.25">
      <c r="B147" s="3">
        <v>8580</v>
      </c>
      <c r="C147" s="22">
        <v>0</v>
      </c>
      <c r="D147" s="3">
        <v>0</v>
      </c>
    </row>
    <row r="148" spans="2:4" x14ac:dyDescent="0.25">
      <c r="B148" s="3">
        <v>8640</v>
      </c>
      <c r="C148" s="22">
        <v>0</v>
      </c>
      <c r="D148" s="3">
        <v>0</v>
      </c>
    </row>
    <row r="149" spans="2:4" x14ac:dyDescent="0.25">
      <c r="B149" s="3">
        <v>8700</v>
      </c>
      <c r="C149" s="22">
        <v>0</v>
      </c>
      <c r="D149" s="3">
        <v>0</v>
      </c>
    </row>
    <row r="150" spans="2:4" x14ac:dyDescent="0.25">
      <c r="B150" s="3">
        <v>8760</v>
      </c>
      <c r="C150" s="22">
        <v>0</v>
      </c>
      <c r="D150" s="3">
        <v>0</v>
      </c>
    </row>
    <row r="151" spans="2:4" x14ac:dyDescent="0.25">
      <c r="B151" s="3">
        <v>8820</v>
      </c>
      <c r="C151" s="22">
        <v>0</v>
      </c>
      <c r="D151" s="3">
        <v>0</v>
      </c>
    </row>
    <row r="152" spans="2:4" x14ac:dyDescent="0.25">
      <c r="B152" s="3">
        <v>8880</v>
      </c>
      <c r="C152" s="22">
        <v>0</v>
      </c>
      <c r="D152" s="3">
        <v>0</v>
      </c>
    </row>
    <row r="153" spans="2:4" x14ac:dyDescent="0.25">
      <c r="B153" s="3">
        <v>8940</v>
      </c>
      <c r="C153" s="22">
        <v>0</v>
      </c>
      <c r="D153" s="3">
        <v>0</v>
      </c>
    </row>
    <row r="154" spans="2:4" x14ac:dyDescent="0.25">
      <c r="B154" s="3">
        <v>9000</v>
      </c>
      <c r="C154" s="22">
        <v>0</v>
      </c>
      <c r="D154" s="3">
        <v>0</v>
      </c>
    </row>
    <row r="155" spans="2:4" x14ac:dyDescent="0.25">
      <c r="B155" s="3">
        <v>9060</v>
      </c>
      <c r="C155" s="22">
        <v>0</v>
      </c>
      <c r="D155" s="3">
        <v>0</v>
      </c>
    </row>
    <row r="156" spans="2:4" x14ac:dyDescent="0.25">
      <c r="B156" s="3">
        <v>9120</v>
      </c>
      <c r="C156" s="22">
        <v>0</v>
      </c>
      <c r="D156" s="3">
        <v>0</v>
      </c>
    </row>
    <row r="157" spans="2:4" x14ac:dyDescent="0.25">
      <c r="B157" s="3">
        <v>9180</v>
      </c>
      <c r="C157" s="22">
        <v>0</v>
      </c>
      <c r="D157" s="3">
        <v>0</v>
      </c>
    </row>
    <row r="158" spans="2:4" x14ac:dyDescent="0.25">
      <c r="B158" s="3">
        <v>9240</v>
      </c>
      <c r="C158" s="22">
        <v>0</v>
      </c>
      <c r="D158" s="3">
        <v>0</v>
      </c>
    </row>
    <row r="159" spans="2:4" x14ac:dyDescent="0.25">
      <c r="B159" s="3">
        <v>9300</v>
      </c>
      <c r="C159" s="22">
        <v>0</v>
      </c>
      <c r="D159" s="3">
        <v>0</v>
      </c>
    </row>
    <row r="160" spans="2:4" x14ac:dyDescent="0.25">
      <c r="B160" s="3">
        <v>9360</v>
      </c>
      <c r="C160" s="22">
        <v>0</v>
      </c>
      <c r="D160" s="3">
        <v>0</v>
      </c>
    </row>
    <row r="161" spans="2:4" x14ac:dyDescent="0.25">
      <c r="B161" s="3">
        <v>9420</v>
      </c>
      <c r="C161" s="22">
        <v>0</v>
      </c>
      <c r="D161" s="3">
        <v>0</v>
      </c>
    </row>
    <row r="162" spans="2:4" x14ac:dyDescent="0.25">
      <c r="B162" s="3">
        <v>9480</v>
      </c>
      <c r="C162" s="22">
        <v>0</v>
      </c>
      <c r="D162" s="3">
        <v>0</v>
      </c>
    </row>
    <row r="163" spans="2:4" x14ac:dyDescent="0.25">
      <c r="B163" s="3">
        <v>9540</v>
      </c>
      <c r="C163" s="22">
        <v>0</v>
      </c>
      <c r="D163" s="3">
        <v>0</v>
      </c>
    </row>
    <row r="164" spans="2:4" x14ac:dyDescent="0.25">
      <c r="B164" s="3">
        <v>9600</v>
      </c>
      <c r="C164" s="22">
        <v>0</v>
      </c>
      <c r="D164" s="3">
        <v>0</v>
      </c>
    </row>
    <row r="165" spans="2:4" x14ac:dyDescent="0.25">
      <c r="B165" s="3">
        <v>9660</v>
      </c>
      <c r="C165" s="22">
        <v>0</v>
      </c>
      <c r="D165" s="3">
        <v>0</v>
      </c>
    </row>
    <row r="166" spans="2:4" x14ac:dyDescent="0.25">
      <c r="B166" s="3">
        <v>9720</v>
      </c>
      <c r="C166" s="22">
        <v>0</v>
      </c>
      <c r="D166" s="3">
        <v>0</v>
      </c>
    </row>
    <row r="167" spans="2:4" x14ac:dyDescent="0.25">
      <c r="B167" s="3">
        <v>9780</v>
      </c>
      <c r="C167" s="22">
        <v>0</v>
      </c>
      <c r="D167" s="3">
        <v>0</v>
      </c>
    </row>
    <row r="168" spans="2:4" x14ac:dyDescent="0.25">
      <c r="B168" s="3">
        <v>9840</v>
      </c>
      <c r="C168" s="22">
        <v>0</v>
      </c>
      <c r="D168" s="3">
        <v>0</v>
      </c>
    </row>
    <row r="169" spans="2:4" x14ac:dyDescent="0.25">
      <c r="B169" s="3">
        <v>9900</v>
      </c>
      <c r="C169" s="22">
        <v>0</v>
      </c>
      <c r="D169" s="3">
        <v>0</v>
      </c>
    </row>
    <row r="170" spans="2:4" x14ac:dyDescent="0.25">
      <c r="B170" s="3">
        <v>9960</v>
      </c>
      <c r="C170" s="22">
        <v>0</v>
      </c>
      <c r="D170" s="3">
        <v>0</v>
      </c>
    </row>
    <row r="171" spans="2:4" x14ac:dyDescent="0.25">
      <c r="B171" s="3">
        <v>10020</v>
      </c>
      <c r="C171" s="22">
        <v>0</v>
      </c>
      <c r="D171" s="3">
        <v>0</v>
      </c>
    </row>
    <row r="172" spans="2:4" x14ac:dyDescent="0.25">
      <c r="B172" s="3">
        <v>10080</v>
      </c>
      <c r="C172" s="22">
        <v>11.467205125</v>
      </c>
      <c r="D172" s="3">
        <v>0</v>
      </c>
    </row>
    <row r="173" spans="2:4" x14ac:dyDescent="0.25">
      <c r="B173" s="3">
        <v>10140</v>
      </c>
      <c r="C173" s="22">
        <v>11.49089873</v>
      </c>
      <c r="D173" s="3">
        <v>0</v>
      </c>
    </row>
    <row r="174" spans="2:4" x14ac:dyDescent="0.25">
      <c r="B174" s="3">
        <v>10200</v>
      </c>
      <c r="C174" s="22">
        <v>11.629690999999999</v>
      </c>
      <c r="D174" s="3">
        <v>0</v>
      </c>
    </row>
    <row r="175" spans="2:4" x14ac:dyDescent="0.25">
      <c r="B175" s="3">
        <v>10260</v>
      </c>
      <c r="C175" s="22">
        <v>0.95526278799999997</v>
      </c>
      <c r="D175" s="3">
        <v>0</v>
      </c>
    </row>
    <row r="176" spans="2:4" x14ac:dyDescent="0.25">
      <c r="B176" s="3">
        <v>10320</v>
      </c>
      <c r="C176" s="22">
        <v>0</v>
      </c>
      <c r="D176" s="3">
        <v>0</v>
      </c>
    </row>
    <row r="177" spans="2:4" x14ac:dyDescent="0.25">
      <c r="B177" s="3">
        <v>10380</v>
      </c>
      <c r="C177" s="22">
        <v>0</v>
      </c>
      <c r="D177" s="3">
        <v>0</v>
      </c>
    </row>
    <row r="178" spans="2:4" x14ac:dyDescent="0.25">
      <c r="B178" s="3">
        <v>10440</v>
      </c>
      <c r="C178" s="22">
        <v>0</v>
      </c>
      <c r="D178" s="3">
        <v>0</v>
      </c>
    </row>
    <row r="179" spans="2:4" x14ac:dyDescent="0.25">
      <c r="B179" s="3">
        <v>10500</v>
      </c>
      <c r="C179" s="22">
        <v>0</v>
      </c>
      <c r="D179" s="3">
        <v>0</v>
      </c>
    </row>
    <row r="180" spans="2:4" x14ac:dyDescent="0.25">
      <c r="B180" s="3">
        <v>10560</v>
      </c>
      <c r="C180" s="22">
        <v>0</v>
      </c>
      <c r="D180" s="3">
        <v>0</v>
      </c>
    </row>
    <row r="181" spans="2:4" x14ac:dyDescent="0.25">
      <c r="B181" s="3">
        <v>10620</v>
      </c>
      <c r="C181" s="22">
        <v>0</v>
      </c>
      <c r="D181" s="3">
        <v>0</v>
      </c>
    </row>
    <row r="182" spans="2:4" x14ac:dyDescent="0.25">
      <c r="B182" s="3">
        <v>10680</v>
      </c>
      <c r="C182" s="22">
        <v>11.433262210000001</v>
      </c>
      <c r="D182" s="3">
        <v>0</v>
      </c>
    </row>
    <row r="183" spans="2:4" x14ac:dyDescent="0.25">
      <c r="B183" s="3">
        <v>10740</v>
      </c>
      <c r="C183" s="22">
        <v>11.585319849999999</v>
      </c>
      <c r="D183" s="3">
        <v>0</v>
      </c>
    </row>
    <row r="184" spans="2:4" x14ac:dyDescent="0.25">
      <c r="B184" s="3">
        <v>10800</v>
      </c>
      <c r="C184" s="22">
        <v>11.548606485000001</v>
      </c>
      <c r="D184" s="3">
        <v>0</v>
      </c>
    </row>
    <row r="185" spans="2:4" x14ac:dyDescent="0.25">
      <c r="B185" s="3">
        <v>10860</v>
      </c>
      <c r="C185" s="22">
        <v>0.55078280000000002</v>
      </c>
      <c r="D185" s="3">
        <v>0</v>
      </c>
    </row>
    <row r="186" spans="2:4" x14ac:dyDescent="0.25">
      <c r="B186" s="3">
        <v>10920</v>
      </c>
      <c r="C186" s="22">
        <v>0</v>
      </c>
      <c r="D186" s="3">
        <v>0</v>
      </c>
    </row>
    <row r="187" spans="2:4" x14ac:dyDescent="0.25">
      <c r="B187" s="3">
        <v>10980</v>
      </c>
      <c r="C187" s="22">
        <v>0</v>
      </c>
      <c r="D187" s="3">
        <v>0</v>
      </c>
    </row>
    <row r="188" spans="2:4" x14ac:dyDescent="0.25">
      <c r="B188" s="3">
        <v>11040</v>
      </c>
      <c r="C188" s="22">
        <v>0</v>
      </c>
      <c r="D188" s="3">
        <v>0</v>
      </c>
    </row>
    <row r="189" spans="2:4" x14ac:dyDescent="0.25">
      <c r="B189" s="3">
        <v>11100</v>
      </c>
      <c r="C189" s="22">
        <v>0</v>
      </c>
      <c r="D189" s="3">
        <v>0</v>
      </c>
    </row>
    <row r="190" spans="2:4" x14ac:dyDescent="0.25">
      <c r="B190" s="3">
        <v>11160</v>
      </c>
      <c r="C190" s="22">
        <v>0</v>
      </c>
      <c r="D190" s="3">
        <v>0</v>
      </c>
    </row>
    <row r="191" spans="2:4" x14ac:dyDescent="0.25">
      <c r="B191" s="3">
        <v>11220</v>
      </c>
      <c r="C191" s="22">
        <v>0</v>
      </c>
      <c r="D191" s="3">
        <v>0</v>
      </c>
    </row>
    <row r="192" spans="2:4" x14ac:dyDescent="0.25">
      <c r="B192" s="3">
        <v>11280</v>
      </c>
      <c r="C192" s="22">
        <v>0</v>
      </c>
      <c r="D192" s="3">
        <v>0</v>
      </c>
    </row>
    <row r="193" spans="2:4" x14ac:dyDescent="0.25">
      <c r="B193" s="3">
        <v>11340</v>
      </c>
      <c r="C193" s="22">
        <v>0</v>
      </c>
      <c r="D193" s="3">
        <v>0</v>
      </c>
    </row>
    <row r="194" spans="2:4" x14ac:dyDescent="0.25">
      <c r="B194" s="3">
        <v>11400</v>
      </c>
      <c r="C194" s="22">
        <v>0</v>
      </c>
      <c r="D194" s="3">
        <v>0</v>
      </c>
    </row>
    <row r="195" spans="2:4" x14ac:dyDescent="0.25">
      <c r="B195" s="3">
        <v>11460</v>
      </c>
      <c r="C195" s="22">
        <v>0</v>
      </c>
      <c r="D195" s="3">
        <v>0</v>
      </c>
    </row>
    <row r="196" spans="2:4" x14ac:dyDescent="0.25">
      <c r="B196" s="3">
        <v>11520</v>
      </c>
      <c r="C196" s="22">
        <v>0</v>
      </c>
      <c r="D196" s="3">
        <v>0</v>
      </c>
    </row>
    <row r="197" spans="2:4" x14ac:dyDescent="0.25">
      <c r="B197" s="3">
        <v>11580</v>
      </c>
      <c r="C197" s="22">
        <v>0</v>
      </c>
      <c r="D197" s="3">
        <v>0</v>
      </c>
    </row>
    <row r="198" spans="2:4" x14ac:dyDescent="0.25">
      <c r="B198" s="3">
        <v>11640</v>
      </c>
      <c r="C198" s="22">
        <v>0</v>
      </c>
      <c r="D198" s="3">
        <v>0</v>
      </c>
    </row>
    <row r="199" spans="2:4" x14ac:dyDescent="0.25">
      <c r="B199" s="3">
        <v>11700</v>
      </c>
      <c r="C199" s="22">
        <v>0</v>
      </c>
      <c r="D199" s="3">
        <v>0</v>
      </c>
    </row>
    <row r="200" spans="2:4" x14ac:dyDescent="0.25">
      <c r="B200" s="3">
        <v>11760</v>
      </c>
      <c r="C200" s="22">
        <v>0</v>
      </c>
      <c r="D200" s="3">
        <v>0</v>
      </c>
    </row>
    <row r="201" spans="2:4" x14ac:dyDescent="0.25">
      <c r="B201" s="3">
        <v>11820</v>
      </c>
      <c r="C201" s="22">
        <v>0</v>
      </c>
      <c r="D201" s="3">
        <v>0</v>
      </c>
    </row>
    <row r="202" spans="2:4" x14ac:dyDescent="0.25">
      <c r="B202" s="3">
        <v>11880</v>
      </c>
      <c r="C202" s="22">
        <v>0</v>
      </c>
      <c r="D202" s="3">
        <v>0</v>
      </c>
    </row>
    <row r="203" spans="2:4" x14ac:dyDescent="0.25">
      <c r="B203" s="3">
        <v>11940</v>
      </c>
      <c r="C203" s="22">
        <v>0</v>
      </c>
      <c r="D203" s="3">
        <v>0</v>
      </c>
    </row>
    <row r="204" spans="2:4" x14ac:dyDescent="0.25">
      <c r="B204" s="3">
        <v>12000</v>
      </c>
      <c r="C204" s="22">
        <v>0</v>
      </c>
      <c r="D204" s="3">
        <v>0</v>
      </c>
    </row>
    <row r="205" spans="2:4" x14ac:dyDescent="0.25">
      <c r="B205" s="3">
        <v>12060</v>
      </c>
      <c r="C205" s="22">
        <v>0</v>
      </c>
      <c r="D205" s="3">
        <v>0</v>
      </c>
    </row>
    <row r="206" spans="2:4" x14ac:dyDescent="0.25">
      <c r="B206" s="3">
        <v>12120</v>
      </c>
      <c r="C206" s="22">
        <v>0</v>
      </c>
      <c r="D206" s="3">
        <v>0</v>
      </c>
    </row>
    <row r="207" spans="2:4" x14ac:dyDescent="0.25">
      <c r="B207" s="3">
        <v>12180</v>
      </c>
      <c r="C207" s="22">
        <v>0</v>
      </c>
      <c r="D207" s="3">
        <v>0</v>
      </c>
    </row>
    <row r="208" spans="2:4" x14ac:dyDescent="0.25">
      <c r="B208" s="3">
        <v>12240</v>
      </c>
      <c r="C208" s="22">
        <v>0</v>
      </c>
      <c r="D208" s="3">
        <v>0</v>
      </c>
    </row>
    <row r="209" spans="2:4" x14ac:dyDescent="0.25">
      <c r="B209" s="3">
        <v>12300</v>
      </c>
      <c r="C209" s="22">
        <v>0</v>
      </c>
      <c r="D209" s="3">
        <v>0</v>
      </c>
    </row>
    <row r="210" spans="2:4" x14ac:dyDescent="0.25">
      <c r="B210" s="3">
        <v>12360</v>
      </c>
      <c r="C210" s="22">
        <v>0</v>
      </c>
      <c r="D210" s="3">
        <v>0</v>
      </c>
    </row>
    <row r="211" spans="2:4" x14ac:dyDescent="0.25">
      <c r="B211" s="3">
        <v>12420</v>
      </c>
      <c r="C211" s="22">
        <v>0</v>
      </c>
      <c r="D211" s="3">
        <v>0</v>
      </c>
    </row>
    <row r="212" spans="2:4" x14ac:dyDescent="0.25">
      <c r="B212" s="3">
        <v>12480</v>
      </c>
      <c r="C212" s="22">
        <v>0</v>
      </c>
      <c r="D212" s="3">
        <v>0</v>
      </c>
    </row>
    <row r="213" spans="2:4" x14ac:dyDescent="0.25">
      <c r="B213" s="3">
        <v>12540</v>
      </c>
      <c r="C213" s="22">
        <v>0</v>
      </c>
      <c r="D213" s="3">
        <v>0</v>
      </c>
    </row>
    <row r="214" spans="2:4" x14ac:dyDescent="0.25">
      <c r="B214" s="3">
        <v>12600</v>
      </c>
      <c r="C214" s="22">
        <v>0</v>
      </c>
      <c r="D214" s="3">
        <v>0</v>
      </c>
    </row>
    <row r="215" spans="2:4" x14ac:dyDescent="0.25">
      <c r="B215" s="3">
        <v>12660</v>
      </c>
      <c r="C215" s="22">
        <v>0</v>
      </c>
      <c r="D215" s="3">
        <v>0</v>
      </c>
    </row>
    <row r="216" spans="2:4" x14ac:dyDescent="0.25">
      <c r="B216" s="3">
        <v>12720</v>
      </c>
      <c r="C216" s="22">
        <v>0</v>
      </c>
      <c r="D216" s="3">
        <v>0</v>
      </c>
    </row>
    <row r="217" spans="2:4" x14ac:dyDescent="0.25">
      <c r="B217" s="3">
        <v>12780</v>
      </c>
      <c r="C217" s="22">
        <v>0</v>
      </c>
      <c r="D217" s="3">
        <v>0</v>
      </c>
    </row>
    <row r="218" spans="2:4" x14ac:dyDescent="0.25">
      <c r="B218" s="3">
        <v>12840</v>
      </c>
      <c r="C218" s="22">
        <v>0</v>
      </c>
      <c r="D218" s="3">
        <v>0</v>
      </c>
    </row>
    <row r="219" spans="2:4" x14ac:dyDescent="0.25">
      <c r="B219" s="3">
        <v>12900</v>
      </c>
      <c r="C219" s="22">
        <v>0</v>
      </c>
      <c r="D219" s="3">
        <v>0</v>
      </c>
    </row>
    <row r="220" spans="2:4" x14ac:dyDescent="0.25">
      <c r="B220" s="3">
        <v>12960</v>
      </c>
      <c r="C220" s="22">
        <v>0</v>
      </c>
      <c r="D220" s="3">
        <v>0</v>
      </c>
    </row>
    <row r="221" spans="2:4" x14ac:dyDescent="0.25">
      <c r="B221" s="3">
        <v>13020</v>
      </c>
      <c r="C221" s="22">
        <v>0</v>
      </c>
      <c r="D221" s="3">
        <v>0</v>
      </c>
    </row>
    <row r="222" spans="2:4" x14ac:dyDescent="0.25">
      <c r="B222" s="3">
        <v>13080</v>
      </c>
      <c r="C222" s="22">
        <v>0</v>
      </c>
      <c r="D222" s="3">
        <v>0</v>
      </c>
    </row>
    <row r="223" spans="2:4" x14ac:dyDescent="0.25">
      <c r="B223" s="3">
        <v>13140</v>
      </c>
      <c r="C223" s="22">
        <v>0</v>
      </c>
      <c r="D223" s="3">
        <v>0</v>
      </c>
    </row>
    <row r="224" spans="2:4" x14ac:dyDescent="0.25">
      <c r="B224" s="3">
        <v>13200</v>
      </c>
      <c r="C224" s="22">
        <v>0</v>
      </c>
      <c r="D224" s="3">
        <v>0</v>
      </c>
    </row>
    <row r="225" spans="2:4" x14ac:dyDescent="0.25">
      <c r="B225" s="3">
        <v>13260</v>
      </c>
      <c r="C225" s="22">
        <v>0</v>
      </c>
      <c r="D225" s="3">
        <v>0</v>
      </c>
    </row>
    <row r="226" spans="2:4" x14ac:dyDescent="0.25">
      <c r="B226" s="3">
        <v>13320</v>
      </c>
      <c r="C226" s="22">
        <v>0</v>
      </c>
      <c r="D226" s="3">
        <v>0</v>
      </c>
    </row>
    <row r="227" spans="2:4" x14ac:dyDescent="0.25">
      <c r="B227" s="3">
        <v>13380</v>
      </c>
      <c r="C227" s="22">
        <v>0</v>
      </c>
      <c r="D227" s="3">
        <v>0</v>
      </c>
    </row>
    <row r="228" spans="2:4" x14ac:dyDescent="0.25">
      <c r="B228" s="3">
        <v>13440</v>
      </c>
      <c r="C228" s="22">
        <v>0</v>
      </c>
      <c r="D228" s="3">
        <v>0</v>
      </c>
    </row>
    <row r="229" spans="2:4" x14ac:dyDescent="0.25">
      <c r="B229" s="3">
        <v>13500</v>
      </c>
      <c r="C229" s="22">
        <v>0</v>
      </c>
      <c r="D229" s="3">
        <v>0</v>
      </c>
    </row>
    <row r="230" spans="2:4" x14ac:dyDescent="0.25">
      <c r="B230" s="3">
        <v>13560</v>
      </c>
      <c r="C230" s="22">
        <v>0</v>
      </c>
      <c r="D230" s="3">
        <v>0</v>
      </c>
    </row>
    <row r="231" spans="2:4" x14ac:dyDescent="0.25">
      <c r="B231" s="3">
        <v>13620</v>
      </c>
      <c r="C231" s="22">
        <v>0</v>
      </c>
      <c r="D231" s="3">
        <v>0</v>
      </c>
    </row>
    <row r="232" spans="2:4" x14ac:dyDescent="0.25">
      <c r="B232" s="3">
        <v>13680</v>
      </c>
      <c r="C232" s="22">
        <v>0</v>
      </c>
      <c r="D232" s="3">
        <v>0</v>
      </c>
    </row>
    <row r="233" spans="2:4" x14ac:dyDescent="0.25">
      <c r="B233" s="3">
        <v>13740</v>
      </c>
      <c r="C233" s="22">
        <v>0</v>
      </c>
      <c r="D233" s="3">
        <v>0</v>
      </c>
    </row>
    <row r="234" spans="2:4" x14ac:dyDescent="0.25">
      <c r="B234" s="3">
        <v>13800</v>
      </c>
      <c r="C234" s="22">
        <v>0</v>
      </c>
      <c r="D234" s="3">
        <v>0</v>
      </c>
    </row>
    <row r="235" spans="2:4" x14ac:dyDescent="0.25">
      <c r="B235" s="3">
        <v>13860</v>
      </c>
      <c r="C235" s="22">
        <v>0</v>
      </c>
      <c r="D235" s="3">
        <v>0</v>
      </c>
    </row>
    <row r="236" spans="2:4" x14ac:dyDescent="0.25">
      <c r="B236" s="3">
        <v>13920</v>
      </c>
      <c r="C236" s="22">
        <v>0</v>
      </c>
      <c r="D236" s="3">
        <v>0</v>
      </c>
    </row>
    <row r="237" spans="2:4" x14ac:dyDescent="0.25">
      <c r="B237" s="3">
        <v>13980</v>
      </c>
      <c r="C237" s="22">
        <v>0</v>
      </c>
      <c r="D237" s="3">
        <v>0</v>
      </c>
    </row>
    <row r="238" spans="2:4" x14ac:dyDescent="0.25">
      <c r="B238" s="3">
        <v>14040</v>
      </c>
      <c r="C238" s="22">
        <v>0</v>
      </c>
      <c r="D238" s="3">
        <v>0</v>
      </c>
    </row>
    <row r="239" spans="2:4" x14ac:dyDescent="0.25">
      <c r="B239" s="3">
        <v>14100</v>
      </c>
      <c r="C239" s="22">
        <v>0</v>
      </c>
      <c r="D239" s="3">
        <v>0</v>
      </c>
    </row>
    <row r="240" spans="2:4" x14ac:dyDescent="0.25">
      <c r="B240" s="3">
        <v>14160</v>
      </c>
      <c r="C240" s="22">
        <v>0</v>
      </c>
      <c r="D240" s="3">
        <v>0</v>
      </c>
    </row>
    <row r="241" spans="2:4" x14ac:dyDescent="0.25">
      <c r="B241" s="3">
        <v>14220</v>
      </c>
      <c r="C241" s="22">
        <v>0</v>
      </c>
      <c r="D241" s="3">
        <v>0</v>
      </c>
    </row>
    <row r="242" spans="2:4" x14ac:dyDescent="0.25">
      <c r="B242" s="3">
        <v>14280</v>
      </c>
      <c r="C242" s="22">
        <v>0</v>
      </c>
      <c r="D242" s="3">
        <v>0</v>
      </c>
    </row>
    <row r="243" spans="2:4" x14ac:dyDescent="0.25">
      <c r="B243" s="3">
        <v>14340</v>
      </c>
      <c r="C243" s="22">
        <v>0</v>
      </c>
      <c r="D243" s="3">
        <v>0</v>
      </c>
    </row>
    <row r="244" spans="2:4" x14ac:dyDescent="0.25">
      <c r="B244" s="3">
        <v>14400</v>
      </c>
      <c r="C244" s="22">
        <v>0</v>
      </c>
      <c r="D244" s="3">
        <v>0</v>
      </c>
    </row>
    <row r="245" spans="2:4" x14ac:dyDescent="0.25">
      <c r="B245" s="3">
        <v>14460</v>
      </c>
      <c r="C245" s="22">
        <v>0</v>
      </c>
      <c r="D245" s="3">
        <v>0</v>
      </c>
    </row>
    <row r="246" spans="2:4" x14ac:dyDescent="0.25">
      <c r="B246" s="3">
        <v>14520</v>
      </c>
      <c r="C246" s="22">
        <v>0</v>
      </c>
      <c r="D246" s="3">
        <v>0</v>
      </c>
    </row>
    <row r="247" spans="2:4" x14ac:dyDescent="0.25">
      <c r="B247" s="3">
        <v>14580</v>
      </c>
      <c r="C247" s="22">
        <v>0</v>
      </c>
      <c r="D247" s="3">
        <v>0</v>
      </c>
    </row>
    <row r="248" spans="2:4" x14ac:dyDescent="0.25">
      <c r="B248" s="3">
        <v>14640</v>
      </c>
      <c r="C248" s="22">
        <v>0</v>
      </c>
      <c r="D248" s="3">
        <v>0</v>
      </c>
    </row>
    <row r="249" spans="2:4" x14ac:dyDescent="0.25">
      <c r="B249" s="3">
        <v>14700</v>
      </c>
      <c r="C249" s="22">
        <v>0</v>
      </c>
      <c r="D249" s="3">
        <v>0</v>
      </c>
    </row>
    <row r="250" spans="2:4" x14ac:dyDescent="0.25">
      <c r="B250" s="3">
        <v>14760</v>
      </c>
      <c r="C250" s="22">
        <v>0</v>
      </c>
      <c r="D250" s="3">
        <v>0</v>
      </c>
    </row>
    <row r="251" spans="2:4" x14ac:dyDescent="0.25">
      <c r="B251" s="3">
        <v>14820</v>
      </c>
      <c r="C251" s="22">
        <v>0</v>
      </c>
      <c r="D251" s="3">
        <v>0</v>
      </c>
    </row>
    <row r="252" spans="2:4" x14ac:dyDescent="0.25">
      <c r="B252" s="3">
        <v>14880</v>
      </c>
      <c r="C252" s="22">
        <v>0</v>
      </c>
      <c r="D252" s="3">
        <v>0</v>
      </c>
    </row>
    <row r="253" spans="2:4" x14ac:dyDescent="0.25">
      <c r="B253" s="3">
        <v>14940</v>
      </c>
      <c r="C253" s="22">
        <v>0</v>
      </c>
      <c r="D253" s="3">
        <v>0</v>
      </c>
    </row>
    <row r="254" spans="2:4" x14ac:dyDescent="0.25">
      <c r="B254" s="3">
        <v>15000</v>
      </c>
      <c r="C254" s="22">
        <v>0</v>
      </c>
      <c r="D254" s="3">
        <v>0</v>
      </c>
    </row>
    <row r="255" spans="2:4" x14ac:dyDescent="0.25">
      <c r="B255" s="3">
        <v>15060</v>
      </c>
      <c r="C255" s="22">
        <v>0</v>
      </c>
      <c r="D255" s="3">
        <v>0</v>
      </c>
    </row>
    <row r="256" spans="2:4" x14ac:dyDescent="0.25">
      <c r="B256" s="3">
        <v>15120</v>
      </c>
      <c r="C256" s="22">
        <v>11.43463418</v>
      </c>
      <c r="D256" s="3">
        <v>0</v>
      </c>
    </row>
    <row r="257" spans="2:4" x14ac:dyDescent="0.25">
      <c r="B257" s="3">
        <v>15180</v>
      </c>
      <c r="C257" s="22">
        <v>11.672964785</v>
      </c>
      <c r="D257" s="3">
        <v>0</v>
      </c>
    </row>
    <row r="258" spans="2:4" x14ac:dyDescent="0.25">
      <c r="B258" s="3">
        <v>15240</v>
      </c>
      <c r="C258" s="22">
        <v>11.660626205</v>
      </c>
      <c r="D258" s="3">
        <v>0</v>
      </c>
    </row>
    <row r="259" spans="2:4" x14ac:dyDescent="0.25">
      <c r="B259" s="3">
        <v>15300</v>
      </c>
      <c r="C259" s="22">
        <v>0.33517146199999998</v>
      </c>
      <c r="D259" s="3">
        <v>0</v>
      </c>
    </row>
    <row r="260" spans="2:4" x14ac:dyDescent="0.25">
      <c r="B260" s="3">
        <v>15360</v>
      </c>
      <c r="C260" s="22">
        <v>0</v>
      </c>
      <c r="D260" s="3">
        <v>0</v>
      </c>
    </row>
    <row r="261" spans="2:4" x14ac:dyDescent="0.25">
      <c r="B261" s="3">
        <v>15420</v>
      </c>
      <c r="C261" s="22">
        <v>0</v>
      </c>
      <c r="D261" s="3">
        <v>0</v>
      </c>
    </row>
    <row r="262" spans="2:4" x14ac:dyDescent="0.25">
      <c r="B262" s="3">
        <v>15480</v>
      </c>
      <c r="C262" s="22">
        <v>0</v>
      </c>
      <c r="D262" s="3">
        <v>0</v>
      </c>
    </row>
    <row r="263" spans="2:4" x14ac:dyDescent="0.25">
      <c r="B263" s="3">
        <v>15540</v>
      </c>
      <c r="C263" s="22">
        <v>0</v>
      </c>
      <c r="D263" s="3">
        <v>0</v>
      </c>
    </row>
    <row r="264" spans="2:4" x14ac:dyDescent="0.25">
      <c r="B264" s="3">
        <v>15600</v>
      </c>
      <c r="C264" s="22">
        <v>0</v>
      </c>
      <c r="D264" s="3">
        <v>0</v>
      </c>
    </row>
    <row r="265" spans="2:4" x14ac:dyDescent="0.25">
      <c r="B265" s="3">
        <v>15660</v>
      </c>
      <c r="C265" s="22">
        <v>0</v>
      </c>
      <c r="D265" s="3">
        <v>0</v>
      </c>
    </row>
    <row r="266" spans="2:4" x14ac:dyDescent="0.25">
      <c r="B266" s="3">
        <v>15720</v>
      </c>
      <c r="C266" s="22">
        <v>11.435627455000001</v>
      </c>
      <c r="D266" s="3">
        <v>0</v>
      </c>
    </row>
    <row r="267" spans="2:4" x14ac:dyDescent="0.25">
      <c r="B267" s="3">
        <v>15780</v>
      </c>
      <c r="C267" s="22">
        <v>11.65607797</v>
      </c>
      <c r="D267" s="3">
        <v>0</v>
      </c>
    </row>
    <row r="268" spans="2:4" x14ac:dyDescent="0.25">
      <c r="B268" s="3">
        <v>15840</v>
      </c>
      <c r="C268" s="22">
        <v>11.579337635</v>
      </c>
      <c r="D268" s="3">
        <v>0</v>
      </c>
    </row>
    <row r="269" spans="2:4" x14ac:dyDescent="0.25">
      <c r="B269" s="3">
        <v>15900</v>
      </c>
      <c r="C269" s="22">
        <v>0.940532174</v>
      </c>
      <c r="D269" s="3">
        <v>0</v>
      </c>
    </row>
    <row r="270" spans="2:4" x14ac:dyDescent="0.25">
      <c r="B270" s="3">
        <v>15960</v>
      </c>
      <c r="C270" s="22">
        <v>0</v>
      </c>
      <c r="D270" s="3">
        <v>0</v>
      </c>
    </row>
    <row r="271" spans="2:4" x14ac:dyDescent="0.25">
      <c r="B271" s="3">
        <v>16020</v>
      </c>
      <c r="C271" s="22">
        <v>0</v>
      </c>
      <c r="D271" s="3">
        <v>0</v>
      </c>
    </row>
    <row r="272" spans="2:4" x14ac:dyDescent="0.25">
      <c r="B272" s="3">
        <v>16080</v>
      </c>
      <c r="C272" s="22">
        <v>0</v>
      </c>
      <c r="D272" s="3">
        <v>0</v>
      </c>
    </row>
    <row r="273" spans="2:4" x14ac:dyDescent="0.25">
      <c r="B273" s="3">
        <v>16140</v>
      </c>
      <c r="C273" s="22">
        <v>0</v>
      </c>
      <c r="D273" s="3">
        <v>0</v>
      </c>
    </row>
    <row r="274" spans="2:4" x14ac:dyDescent="0.25">
      <c r="B274" s="3">
        <v>16200</v>
      </c>
      <c r="C274" s="22">
        <v>0</v>
      </c>
      <c r="D274" s="3">
        <v>0</v>
      </c>
    </row>
    <row r="275" spans="2:4" x14ac:dyDescent="0.25">
      <c r="B275" s="3">
        <v>16260</v>
      </c>
      <c r="C275" s="22">
        <v>0</v>
      </c>
      <c r="D275" s="3">
        <v>0</v>
      </c>
    </row>
    <row r="276" spans="2:4" x14ac:dyDescent="0.25">
      <c r="B276" s="3">
        <v>16320</v>
      </c>
      <c r="C276" s="22">
        <v>0</v>
      </c>
      <c r="D276" s="3">
        <v>0</v>
      </c>
    </row>
    <row r="277" spans="2:4" x14ac:dyDescent="0.25">
      <c r="B277" s="3">
        <v>16380</v>
      </c>
      <c r="C277" s="22">
        <v>0</v>
      </c>
      <c r="D277" s="3">
        <v>0</v>
      </c>
    </row>
    <row r="278" spans="2:4" x14ac:dyDescent="0.25">
      <c r="B278" s="3">
        <v>16440</v>
      </c>
      <c r="C278" s="22">
        <v>0</v>
      </c>
      <c r="D278" s="3">
        <v>0</v>
      </c>
    </row>
    <row r="279" spans="2:4" x14ac:dyDescent="0.25">
      <c r="B279" s="3">
        <v>16500</v>
      </c>
      <c r="C279" s="22">
        <v>0</v>
      </c>
      <c r="D279" s="3">
        <v>0</v>
      </c>
    </row>
    <row r="280" spans="2:4" x14ac:dyDescent="0.25">
      <c r="B280" s="3">
        <v>16560</v>
      </c>
      <c r="C280" s="22">
        <v>0</v>
      </c>
      <c r="D280" s="3">
        <v>0</v>
      </c>
    </row>
    <row r="281" spans="2:4" x14ac:dyDescent="0.25">
      <c r="B281" s="3">
        <v>16620</v>
      </c>
      <c r="C281" s="22">
        <v>0</v>
      </c>
      <c r="D281" s="3">
        <v>0</v>
      </c>
    </row>
    <row r="282" spans="2:4" x14ac:dyDescent="0.25">
      <c r="B282" s="3">
        <v>16680</v>
      </c>
      <c r="C282" s="22">
        <v>0</v>
      </c>
      <c r="D282" s="3">
        <v>0</v>
      </c>
    </row>
    <row r="283" spans="2:4" x14ac:dyDescent="0.25">
      <c r="B283" s="3">
        <v>16740</v>
      </c>
      <c r="C283" s="22">
        <v>0</v>
      </c>
      <c r="D283" s="3">
        <v>0</v>
      </c>
    </row>
    <row r="284" spans="2:4" x14ac:dyDescent="0.25">
      <c r="B284" s="3">
        <v>16800</v>
      </c>
      <c r="C284" s="22">
        <v>0</v>
      </c>
      <c r="D284" s="3">
        <v>0</v>
      </c>
    </row>
    <row r="285" spans="2:4" x14ac:dyDescent="0.25">
      <c r="B285" s="3">
        <v>16860</v>
      </c>
      <c r="C285" s="22">
        <v>0</v>
      </c>
      <c r="D285" s="3">
        <v>0</v>
      </c>
    </row>
    <row r="286" spans="2:4" x14ac:dyDescent="0.25">
      <c r="B286" s="3">
        <v>16920</v>
      </c>
      <c r="C286" s="22">
        <v>0</v>
      </c>
      <c r="D286" s="3">
        <v>0</v>
      </c>
    </row>
    <row r="287" spans="2:4" x14ac:dyDescent="0.25">
      <c r="B287" s="3">
        <v>16980</v>
      </c>
      <c r="C287" s="22">
        <v>0</v>
      </c>
      <c r="D287" s="3">
        <v>0</v>
      </c>
    </row>
    <row r="288" spans="2:4" x14ac:dyDescent="0.25">
      <c r="B288" s="3">
        <v>17040</v>
      </c>
      <c r="C288" s="22">
        <v>0</v>
      </c>
      <c r="D288" s="3">
        <v>0</v>
      </c>
    </row>
    <row r="289" spans="2:4" x14ac:dyDescent="0.25">
      <c r="B289" s="3">
        <v>17100</v>
      </c>
      <c r="C289" s="22">
        <v>0</v>
      </c>
      <c r="D289" s="3">
        <v>0</v>
      </c>
    </row>
    <row r="290" spans="2:4" x14ac:dyDescent="0.25">
      <c r="B290" s="3">
        <v>17160</v>
      </c>
      <c r="C290" s="22">
        <v>0</v>
      </c>
      <c r="D290" s="3">
        <v>0</v>
      </c>
    </row>
    <row r="291" spans="2:4" x14ac:dyDescent="0.25">
      <c r="B291" s="3">
        <v>17220</v>
      </c>
      <c r="C291" s="22">
        <v>0</v>
      </c>
      <c r="D291" s="3">
        <v>0</v>
      </c>
    </row>
    <row r="292" spans="2:4" x14ac:dyDescent="0.25">
      <c r="B292" s="3">
        <v>17280</v>
      </c>
      <c r="C292" s="22">
        <v>0</v>
      </c>
      <c r="D292" s="3">
        <v>0</v>
      </c>
    </row>
    <row r="293" spans="2:4" x14ac:dyDescent="0.25">
      <c r="B293" s="3">
        <v>17340</v>
      </c>
      <c r="C293" s="22">
        <v>0</v>
      </c>
      <c r="D293" s="3">
        <v>0</v>
      </c>
    </row>
    <row r="294" spans="2:4" x14ac:dyDescent="0.25">
      <c r="B294" s="3">
        <v>17400</v>
      </c>
      <c r="C294" s="22">
        <v>0</v>
      </c>
      <c r="D294" s="3">
        <v>0</v>
      </c>
    </row>
    <row r="295" spans="2:4" x14ac:dyDescent="0.25">
      <c r="B295" s="3">
        <v>17460</v>
      </c>
      <c r="C295" s="22">
        <v>0</v>
      </c>
      <c r="D295" s="3">
        <v>0</v>
      </c>
    </row>
    <row r="296" spans="2:4" x14ac:dyDescent="0.25">
      <c r="B296" s="3">
        <v>17520</v>
      </c>
      <c r="C296" s="22">
        <v>0</v>
      </c>
      <c r="D296" s="3">
        <v>0</v>
      </c>
    </row>
    <row r="297" spans="2:4" x14ac:dyDescent="0.25">
      <c r="B297" s="3">
        <v>17580</v>
      </c>
      <c r="C297" s="22">
        <v>0</v>
      </c>
      <c r="D297" s="3">
        <v>0</v>
      </c>
    </row>
    <row r="298" spans="2:4" x14ac:dyDescent="0.25">
      <c r="B298" s="3">
        <v>17640</v>
      </c>
      <c r="C298" s="22">
        <v>0</v>
      </c>
      <c r="D298" s="3">
        <v>0</v>
      </c>
    </row>
    <row r="299" spans="2:4" x14ac:dyDescent="0.25">
      <c r="B299" s="3">
        <v>17700</v>
      </c>
      <c r="C299" s="22">
        <v>0</v>
      </c>
      <c r="D299" s="3">
        <v>0</v>
      </c>
    </row>
    <row r="300" spans="2:4" x14ac:dyDescent="0.25">
      <c r="B300" s="3">
        <v>17760</v>
      </c>
      <c r="C300" s="22">
        <v>0</v>
      </c>
      <c r="D300" s="3">
        <v>0</v>
      </c>
    </row>
    <row r="301" spans="2:4" x14ac:dyDescent="0.25">
      <c r="B301" s="3">
        <v>17820</v>
      </c>
      <c r="C301" s="22">
        <v>0</v>
      </c>
      <c r="D301" s="3">
        <v>0</v>
      </c>
    </row>
    <row r="302" spans="2:4" x14ac:dyDescent="0.25">
      <c r="B302" s="3">
        <v>17880</v>
      </c>
      <c r="C302" s="22">
        <v>0</v>
      </c>
      <c r="D302" s="3">
        <v>0</v>
      </c>
    </row>
    <row r="303" spans="2:4" x14ac:dyDescent="0.25">
      <c r="B303" s="3">
        <v>17940</v>
      </c>
      <c r="C303" s="22">
        <v>0</v>
      </c>
      <c r="D303" s="3">
        <v>0</v>
      </c>
    </row>
    <row r="304" spans="2:4" x14ac:dyDescent="0.25">
      <c r="B304" s="3">
        <v>18000</v>
      </c>
      <c r="C304" s="22">
        <v>0</v>
      </c>
      <c r="D304" s="3">
        <v>0</v>
      </c>
    </row>
    <row r="305" spans="2:4" x14ac:dyDescent="0.25">
      <c r="B305" s="3">
        <v>18060</v>
      </c>
      <c r="C305" s="22">
        <v>0</v>
      </c>
      <c r="D305" s="3">
        <v>0</v>
      </c>
    </row>
    <row r="306" spans="2:4" x14ac:dyDescent="0.25">
      <c r="B306" s="3">
        <v>18120</v>
      </c>
      <c r="C306" s="22">
        <v>0</v>
      </c>
      <c r="D306" s="3">
        <v>0</v>
      </c>
    </row>
    <row r="307" spans="2:4" x14ac:dyDescent="0.25">
      <c r="B307" s="3">
        <v>18180</v>
      </c>
      <c r="C307" s="22">
        <v>0</v>
      </c>
      <c r="D307" s="3">
        <v>0</v>
      </c>
    </row>
    <row r="308" spans="2:4" x14ac:dyDescent="0.25">
      <c r="B308" s="3">
        <v>18240</v>
      </c>
      <c r="C308" s="22">
        <v>0</v>
      </c>
      <c r="D308" s="3">
        <v>0</v>
      </c>
    </row>
    <row r="309" spans="2:4" x14ac:dyDescent="0.25">
      <c r="B309" s="3">
        <v>18300</v>
      </c>
      <c r="C309" s="22">
        <v>0</v>
      </c>
      <c r="D309" s="3">
        <v>0</v>
      </c>
    </row>
    <row r="310" spans="2:4" x14ac:dyDescent="0.25">
      <c r="B310" s="3">
        <v>18360</v>
      </c>
      <c r="C310" s="22">
        <v>0</v>
      </c>
      <c r="D310" s="3">
        <v>0</v>
      </c>
    </row>
    <row r="311" spans="2:4" x14ac:dyDescent="0.25">
      <c r="B311" s="3">
        <v>18420</v>
      </c>
      <c r="C311" s="22">
        <v>0</v>
      </c>
      <c r="D311" s="3">
        <v>0</v>
      </c>
    </row>
    <row r="312" spans="2:4" x14ac:dyDescent="0.25">
      <c r="B312" s="3">
        <v>18480</v>
      </c>
      <c r="C312" s="22">
        <v>0</v>
      </c>
      <c r="D312" s="3">
        <v>0</v>
      </c>
    </row>
    <row r="313" spans="2:4" x14ac:dyDescent="0.25">
      <c r="B313" s="3">
        <v>18540</v>
      </c>
      <c r="C313" s="22">
        <v>0</v>
      </c>
      <c r="D313" s="3">
        <v>0</v>
      </c>
    </row>
    <row r="314" spans="2:4" x14ac:dyDescent="0.25">
      <c r="B314" s="3">
        <v>18600</v>
      </c>
      <c r="C314" s="22">
        <v>0</v>
      </c>
      <c r="D314" s="3">
        <v>0</v>
      </c>
    </row>
    <row r="315" spans="2:4" x14ac:dyDescent="0.25">
      <c r="B315" s="3">
        <v>18660</v>
      </c>
      <c r="C315" s="22">
        <v>0</v>
      </c>
      <c r="D315" s="3">
        <v>0</v>
      </c>
    </row>
    <row r="316" spans="2:4" x14ac:dyDescent="0.25">
      <c r="B316" s="3">
        <v>18720</v>
      </c>
      <c r="C316" s="22">
        <v>0</v>
      </c>
      <c r="D316" s="3">
        <v>0</v>
      </c>
    </row>
    <row r="317" spans="2:4" x14ac:dyDescent="0.25">
      <c r="B317" s="3">
        <v>18780</v>
      </c>
      <c r="C317" s="22">
        <v>0</v>
      </c>
      <c r="D317" s="3">
        <v>0</v>
      </c>
    </row>
    <row r="318" spans="2:4" x14ac:dyDescent="0.25">
      <c r="B318" s="3">
        <v>18840</v>
      </c>
      <c r="C318" s="22">
        <v>0</v>
      </c>
      <c r="D318" s="3">
        <v>0</v>
      </c>
    </row>
    <row r="319" spans="2:4" x14ac:dyDescent="0.25">
      <c r="B319" s="3">
        <v>18900</v>
      </c>
      <c r="C319" s="22">
        <v>0</v>
      </c>
      <c r="D319" s="3">
        <v>0</v>
      </c>
    </row>
    <row r="320" spans="2:4" x14ac:dyDescent="0.25">
      <c r="B320" s="3">
        <v>18960</v>
      </c>
      <c r="C320" s="22">
        <v>0</v>
      </c>
      <c r="D320" s="3">
        <v>0</v>
      </c>
    </row>
    <row r="321" spans="2:4" x14ac:dyDescent="0.25">
      <c r="B321" s="3">
        <v>19020</v>
      </c>
      <c r="C321" s="22">
        <v>0</v>
      </c>
      <c r="D321" s="3">
        <v>0</v>
      </c>
    </row>
    <row r="322" spans="2:4" x14ac:dyDescent="0.25">
      <c r="B322" s="3">
        <v>19080</v>
      </c>
      <c r="C322" s="22">
        <v>0</v>
      </c>
      <c r="D322" s="3">
        <v>0</v>
      </c>
    </row>
    <row r="323" spans="2:4" x14ac:dyDescent="0.25">
      <c r="B323" s="3">
        <v>19140</v>
      </c>
      <c r="C323" s="22">
        <v>0</v>
      </c>
      <c r="D323" s="3">
        <v>0</v>
      </c>
    </row>
    <row r="324" spans="2:4" x14ac:dyDescent="0.25">
      <c r="B324" s="3">
        <v>19200</v>
      </c>
      <c r="C324" s="22">
        <v>0</v>
      </c>
      <c r="D324" s="3">
        <v>0</v>
      </c>
    </row>
    <row r="325" spans="2:4" x14ac:dyDescent="0.25">
      <c r="B325" s="3">
        <v>19260</v>
      </c>
      <c r="C325" s="22">
        <v>0</v>
      </c>
      <c r="D325" s="3">
        <v>0</v>
      </c>
    </row>
    <row r="326" spans="2:4" x14ac:dyDescent="0.25">
      <c r="B326" s="3">
        <v>19320</v>
      </c>
      <c r="C326" s="22">
        <v>0</v>
      </c>
      <c r="D326" s="3">
        <v>0</v>
      </c>
    </row>
    <row r="327" spans="2:4" x14ac:dyDescent="0.25">
      <c r="B327" s="3">
        <v>19380</v>
      </c>
      <c r="C327" s="22">
        <v>0</v>
      </c>
      <c r="D327" s="3">
        <v>0</v>
      </c>
    </row>
    <row r="328" spans="2:4" x14ac:dyDescent="0.25">
      <c r="B328" s="3">
        <v>19440</v>
      </c>
      <c r="C328" s="22">
        <v>0</v>
      </c>
      <c r="D328" s="3">
        <v>0</v>
      </c>
    </row>
    <row r="329" spans="2:4" x14ac:dyDescent="0.25">
      <c r="B329" s="3">
        <v>19500</v>
      </c>
      <c r="C329" s="22">
        <v>0</v>
      </c>
      <c r="D329" s="3">
        <v>0</v>
      </c>
    </row>
    <row r="330" spans="2:4" x14ac:dyDescent="0.25">
      <c r="B330" s="3">
        <v>19560</v>
      </c>
      <c r="C330" s="22">
        <v>0</v>
      </c>
      <c r="D330" s="3">
        <v>0</v>
      </c>
    </row>
    <row r="331" spans="2:4" x14ac:dyDescent="0.25">
      <c r="B331" s="3">
        <v>19620</v>
      </c>
      <c r="C331" s="22">
        <v>0</v>
      </c>
      <c r="D331" s="3">
        <v>0</v>
      </c>
    </row>
    <row r="332" spans="2:4" x14ac:dyDescent="0.25">
      <c r="B332" s="3">
        <v>19680</v>
      </c>
      <c r="C332" s="22">
        <v>0</v>
      </c>
      <c r="D332" s="3">
        <v>0</v>
      </c>
    </row>
    <row r="333" spans="2:4" x14ac:dyDescent="0.25">
      <c r="B333" s="3">
        <v>19740</v>
      </c>
      <c r="C333" s="22">
        <v>0</v>
      </c>
      <c r="D333" s="3">
        <v>0</v>
      </c>
    </row>
    <row r="334" spans="2:4" x14ac:dyDescent="0.25">
      <c r="B334" s="3">
        <v>19800</v>
      </c>
      <c r="C334" s="22">
        <v>0</v>
      </c>
      <c r="D334" s="3">
        <v>0</v>
      </c>
    </row>
    <row r="335" spans="2:4" x14ac:dyDescent="0.25">
      <c r="B335" s="3">
        <v>19860</v>
      </c>
      <c r="C335" s="22">
        <v>0</v>
      </c>
      <c r="D335" s="3">
        <v>0</v>
      </c>
    </row>
    <row r="336" spans="2:4" x14ac:dyDescent="0.25">
      <c r="B336" s="3">
        <v>19920</v>
      </c>
      <c r="C336" s="22">
        <v>0</v>
      </c>
      <c r="D336" s="3">
        <v>0</v>
      </c>
    </row>
    <row r="337" spans="2:4" x14ac:dyDescent="0.25">
      <c r="B337" s="3">
        <v>19980</v>
      </c>
      <c r="C337" s="22">
        <v>0</v>
      </c>
      <c r="D337" s="3">
        <v>0</v>
      </c>
    </row>
    <row r="338" spans="2:4" x14ac:dyDescent="0.25">
      <c r="B338" s="3">
        <v>20040</v>
      </c>
      <c r="C338" s="22">
        <v>0</v>
      </c>
      <c r="D338" s="3">
        <v>0</v>
      </c>
    </row>
    <row r="339" spans="2:4" x14ac:dyDescent="0.25">
      <c r="B339" s="3">
        <v>20100</v>
      </c>
      <c r="C339" s="22">
        <v>0</v>
      </c>
      <c r="D339" s="3">
        <v>0</v>
      </c>
    </row>
    <row r="340" spans="2:4" x14ac:dyDescent="0.25">
      <c r="B340" s="3">
        <v>20160</v>
      </c>
      <c r="C340" s="22">
        <v>11.531252755000001</v>
      </c>
      <c r="D340" s="3">
        <v>0</v>
      </c>
    </row>
    <row r="341" spans="2:4" x14ac:dyDescent="0.25">
      <c r="B341" s="3">
        <v>20220</v>
      </c>
      <c r="C341" s="22">
        <v>11.55005291</v>
      </c>
      <c r="D341" s="3">
        <v>0</v>
      </c>
    </row>
    <row r="342" spans="2:4" x14ac:dyDescent="0.25">
      <c r="B342" s="3">
        <v>20280</v>
      </c>
      <c r="C342" s="22">
        <v>11.531130214999999</v>
      </c>
      <c r="D342" s="3">
        <v>0</v>
      </c>
    </row>
    <row r="343" spans="2:4" x14ac:dyDescent="0.25">
      <c r="B343" s="3">
        <v>20340</v>
      </c>
      <c r="C343" s="22">
        <v>0.75853346150000001</v>
      </c>
      <c r="D343" s="3">
        <v>0</v>
      </c>
    </row>
    <row r="344" spans="2:4" x14ac:dyDescent="0.25">
      <c r="B344" s="3">
        <v>20400</v>
      </c>
      <c r="C344" s="22">
        <v>0</v>
      </c>
      <c r="D344" s="3">
        <v>0</v>
      </c>
    </row>
    <row r="345" spans="2:4" x14ac:dyDescent="0.25">
      <c r="B345" s="3">
        <v>20460</v>
      </c>
      <c r="C345" s="22">
        <v>0</v>
      </c>
      <c r="D345" s="3">
        <v>0</v>
      </c>
    </row>
    <row r="346" spans="2:4" x14ac:dyDescent="0.25">
      <c r="B346" s="3">
        <v>20520</v>
      </c>
      <c r="C346" s="22">
        <v>0</v>
      </c>
      <c r="D346" s="3">
        <v>0</v>
      </c>
    </row>
    <row r="347" spans="2:4" x14ac:dyDescent="0.25">
      <c r="B347" s="3">
        <v>20580</v>
      </c>
      <c r="C347" s="22">
        <v>0</v>
      </c>
      <c r="D347" s="3">
        <v>0</v>
      </c>
    </row>
    <row r="348" spans="2:4" x14ac:dyDescent="0.25">
      <c r="B348" s="3">
        <v>20640</v>
      </c>
      <c r="C348" s="22">
        <v>0</v>
      </c>
      <c r="D348" s="3">
        <v>0</v>
      </c>
    </row>
    <row r="349" spans="2:4" x14ac:dyDescent="0.25">
      <c r="B349" s="3">
        <v>20700</v>
      </c>
      <c r="C349" s="22">
        <v>0</v>
      </c>
      <c r="D349" s="3">
        <v>0</v>
      </c>
    </row>
    <row r="350" spans="2:4" x14ac:dyDescent="0.25">
      <c r="B350" s="3">
        <v>20760</v>
      </c>
      <c r="C350" s="22">
        <v>11.561212335</v>
      </c>
      <c r="D350" s="3">
        <v>0</v>
      </c>
    </row>
    <row r="351" spans="2:4" x14ac:dyDescent="0.25">
      <c r="B351" s="3">
        <v>20820</v>
      </c>
      <c r="C351" s="22">
        <v>11.661254274999999</v>
      </c>
      <c r="D351" s="3">
        <v>0</v>
      </c>
    </row>
    <row r="352" spans="2:4" x14ac:dyDescent="0.25">
      <c r="B352" s="3">
        <v>20880</v>
      </c>
      <c r="C352" s="22">
        <v>11.670792425</v>
      </c>
      <c r="D352" s="3">
        <v>0</v>
      </c>
    </row>
    <row r="353" spans="2:4" x14ac:dyDescent="0.25">
      <c r="B353" s="3">
        <v>20940</v>
      </c>
      <c r="C353" s="22">
        <v>0.32252206049999999</v>
      </c>
      <c r="D353" s="3">
        <v>0</v>
      </c>
    </row>
    <row r="354" spans="2:4" x14ac:dyDescent="0.25">
      <c r="B354" s="3">
        <v>21000</v>
      </c>
      <c r="C354" s="22">
        <v>0</v>
      </c>
      <c r="D354" s="3">
        <v>0</v>
      </c>
    </row>
    <row r="355" spans="2:4" x14ac:dyDescent="0.25">
      <c r="B355" s="3">
        <v>21060</v>
      </c>
      <c r="C355" s="22">
        <v>0</v>
      </c>
      <c r="D355" s="3">
        <v>0</v>
      </c>
    </row>
    <row r="356" spans="2:4" x14ac:dyDescent="0.25">
      <c r="B356" s="3">
        <v>21120</v>
      </c>
      <c r="C356" s="22">
        <v>0</v>
      </c>
      <c r="D356" s="3">
        <v>0</v>
      </c>
    </row>
    <row r="357" spans="2:4" x14ac:dyDescent="0.25">
      <c r="B357" s="3">
        <v>21180</v>
      </c>
      <c r="C357" s="22">
        <v>0</v>
      </c>
      <c r="D357" s="3">
        <v>0</v>
      </c>
    </row>
    <row r="358" spans="2:4" x14ac:dyDescent="0.25">
      <c r="B358" s="3">
        <v>21240</v>
      </c>
      <c r="C358" s="22">
        <v>0</v>
      </c>
      <c r="D358" s="3">
        <v>0</v>
      </c>
    </row>
    <row r="359" spans="2:4" x14ac:dyDescent="0.25">
      <c r="B359" s="3">
        <v>21300</v>
      </c>
      <c r="C359" s="22">
        <v>0</v>
      </c>
      <c r="D359" s="3">
        <v>0</v>
      </c>
    </row>
    <row r="360" spans="2:4" x14ac:dyDescent="0.25">
      <c r="B360" s="3">
        <v>21360</v>
      </c>
      <c r="C360" s="22">
        <v>0</v>
      </c>
      <c r="D360" s="3">
        <v>0</v>
      </c>
    </row>
    <row r="361" spans="2:4" x14ac:dyDescent="0.25">
      <c r="B361" s="3">
        <v>21420</v>
      </c>
      <c r="C361" s="22">
        <v>0</v>
      </c>
      <c r="D361" s="3">
        <v>0</v>
      </c>
    </row>
    <row r="362" spans="2:4" x14ac:dyDescent="0.25">
      <c r="B362" s="3">
        <v>21480</v>
      </c>
      <c r="C362" s="22">
        <v>0</v>
      </c>
      <c r="D362" s="3">
        <v>0</v>
      </c>
    </row>
    <row r="363" spans="2:4" x14ac:dyDescent="0.25">
      <c r="B363" s="3">
        <v>21540</v>
      </c>
      <c r="C363" s="22">
        <v>0</v>
      </c>
      <c r="D363" s="3">
        <v>0</v>
      </c>
    </row>
    <row r="364" spans="2:4" x14ac:dyDescent="0.25">
      <c r="B364" s="3">
        <v>21600</v>
      </c>
      <c r="C364" s="22">
        <v>0</v>
      </c>
      <c r="D364" s="3">
        <v>0</v>
      </c>
    </row>
    <row r="365" spans="2:4" x14ac:dyDescent="0.25">
      <c r="B365" s="3">
        <v>21660</v>
      </c>
      <c r="C365" s="22">
        <v>0</v>
      </c>
      <c r="D365" s="3">
        <v>0</v>
      </c>
    </row>
    <row r="366" spans="2:4" x14ac:dyDescent="0.25">
      <c r="B366" s="3">
        <v>21720</v>
      </c>
      <c r="C366" s="22">
        <v>0</v>
      </c>
      <c r="D366" s="3">
        <v>0</v>
      </c>
    </row>
    <row r="367" spans="2:4" x14ac:dyDescent="0.25">
      <c r="B367" s="3">
        <v>21780</v>
      </c>
      <c r="C367" s="22">
        <v>0</v>
      </c>
      <c r="D367" s="3">
        <v>0</v>
      </c>
    </row>
    <row r="368" spans="2:4" x14ac:dyDescent="0.25">
      <c r="B368" s="3">
        <v>21840</v>
      </c>
      <c r="C368" s="22">
        <v>0</v>
      </c>
      <c r="D368" s="3">
        <v>0</v>
      </c>
    </row>
    <row r="369" spans="2:4" x14ac:dyDescent="0.25">
      <c r="B369" s="3">
        <v>21900</v>
      </c>
      <c r="C369" s="22">
        <v>0</v>
      </c>
      <c r="D369" s="3">
        <v>0</v>
      </c>
    </row>
    <row r="370" spans="2:4" x14ac:dyDescent="0.25">
      <c r="B370" s="3">
        <v>21960</v>
      </c>
      <c r="C370" s="22">
        <v>0</v>
      </c>
      <c r="D370" s="3">
        <v>0</v>
      </c>
    </row>
    <row r="371" spans="2:4" x14ac:dyDescent="0.25">
      <c r="B371" s="3">
        <v>22020</v>
      </c>
      <c r="C371" s="22">
        <v>0</v>
      </c>
      <c r="D371" s="3">
        <v>0</v>
      </c>
    </row>
    <row r="372" spans="2:4" x14ac:dyDescent="0.25">
      <c r="B372" s="3">
        <v>22080</v>
      </c>
      <c r="C372" s="22">
        <v>0</v>
      </c>
      <c r="D372" s="3">
        <v>0</v>
      </c>
    </row>
    <row r="373" spans="2:4" x14ac:dyDescent="0.25">
      <c r="B373" s="3">
        <v>22140</v>
      </c>
      <c r="C373" s="22">
        <v>0</v>
      </c>
      <c r="D373" s="3">
        <v>0</v>
      </c>
    </row>
    <row r="374" spans="2:4" x14ac:dyDescent="0.25">
      <c r="B374" s="3">
        <v>22200</v>
      </c>
      <c r="C374" s="22">
        <v>0</v>
      </c>
      <c r="D374" s="3">
        <v>0</v>
      </c>
    </row>
    <row r="375" spans="2:4" x14ac:dyDescent="0.25">
      <c r="B375" s="3">
        <v>22260</v>
      </c>
      <c r="C375" s="22">
        <v>0</v>
      </c>
      <c r="D375" s="3">
        <v>0</v>
      </c>
    </row>
    <row r="376" spans="2:4" x14ac:dyDescent="0.25">
      <c r="B376" s="3">
        <v>22320</v>
      </c>
      <c r="C376" s="22">
        <v>0</v>
      </c>
      <c r="D376" s="3">
        <v>0</v>
      </c>
    </row>
    <row r="377" spans="2:4" x14ac:dyDescent="0.25">
      <c r="B377" s="3">
        <v>22380</v>
      </c>
      <c r="C377" s="22">
        <v>0</v>
      </c>
      <c r="D377" s="3">
        <v>0</v>
      </c>
    </row>
    <row r="378" spans="2:4" x14ac:dyDescent="0.25">
      <c r="B378" s="3">
        <v>22440</v>
      </c>
      <c r="C378" s="22">
        <v>0</v>
      </c>
      <c r="D378" s="3">
        <v>0</v>
      </c>
    </row>
    <row r="379" spans="2:4" x14ac:dyDescent="0.25">
      <c r="B379" s="3">
        <v>22500</v>
      </c>
      <c r="C379" s="22">
        <v>0</v>
      </c>
      <c r="D379" s="3">
        <v>0</v>
      </c>
    </row>
    <row r="380" spans="2:4" x14ac:dyDescent="0.25">
      <c r="B380" s="3">
        <v>22560</v>
      </c>
      <c r="C380" s="22">
        <v>0</v>
      </c>
      <c r="D380" s="3">
        <v>0</v>
      </c>
    </row>
    <row r="381" spans="2:4" x14ac:dyDescent="0.25">
      <c r="B381" s="3">
        <v>22620</v>
      </c>
      <c r="C381" s="22">
        <v>0</v>
      </c>
      <c r="D381" s="3">
        <v>0</v>
      </c>
    </row>
    <row r="382" spans="2:4" x14ac:dyDescent="0.25">
      <c r="B382" s="3">
        <v>22680</v>
      </c>
      <c r="C382" s="22">
        <v>0</v>
      </c>
      <c r="D382" s="3">
        <v>0</v>
      </c>
    </row>
    <row r="383" spans="2:4" x14ac:dyDescent="0.25">
      <c r="B383" s="3">
        <v>22740</v>
      </c>
      <c r="C383" s="22">
        <v>0</v>
      </c>
      <c r="D383" s="3">
        <v>0</v>
      </c>
    </row>
    <row r="384" spans="2:4" x14ac:dyDescent="0.25">
      <c r="B384" s="3">
        <v>22800</v>
      </c>
      <c r="C384" s="22">
        <v>0</v>
      </c>
      <c r="D384" s="3">
        <v>0</v>
      </c>
    </row>
    <row r="385" spans="2:4" x14ac:dyDescent="0.25">
      <c r="B385" s="3">
        <v>22860</v>
      </c>
      <c r="C385" s="22">
        <v>0</v>
      </c>
      <c r="D385" s="3">
        <v>0</v>
      </c>
    </row>
    <row r="386" spans="2:4" x14ac:dyDescent="0.25">
      <c r="B386" s="3">
        <v>22920</v>
      </c>
      <c r="C386" s="22">
        <v>0</v>
      </c>
      <c r="D386" s="3">
        <v>0</v>
      </c>
    </row>
    <row r="387" spans="2:4" x14ac:dyDescent="0.25">
      <c r="B387" s="3">
        <v>22980</v>
      </c>
      <c r="C387" s="22">
        <v>0</v>
      </c>
      <c r="D387" s="3">
        <v>0</v>
      </c>
    </row>
    <row r="388" spans="2:4" x14ac:dyDescent="0.25">
      <c r="B388" s="3">
        <v>23040</v>
      </c>
      <c r="C388" s="22">
        <v>0</v>
      </c>
      <c r="D388" s="3">
        <v>0</v>
      </c>
    </row>
    <row r="389" spans="2:4" x14ac:dyDescent="0.25">
      <c r="B389" s="3">
        <v>23100</v>
      </c>
      <c r="C389" s="22">
        <v>0</v>
      </c>
      <c r="D389" s="3">
        <v>0</v>
      </c>
    </row>
    <row r="390" spans="2:4" x14ac:dyDescent="0.25">
      <c r="B390" s="3">
        <v>23160</v>
      </c>
      <c r="C390" s="22">
        <v>0</v>
      </c>
      <c r="D390" s="3">
        <v>0</v>
      </c>
    </row>
    <row r="391" spans="2:4" x14ac:dyDescent="0.25">
      <c r="B391" s="3">
        <v>23220</v>
      </c>
      <c r="C391" s="22">
        <v>0</v>
      </c>
      <c r="D391" s="3">
        <v>0</v>
      </c>
    </row>
    <row r="392" spans="2:4" x14ac:dyDescent="0.25">
      <c r="B392" s="3">
        <v>23280</v>
      </c>
      <c r="C392" s="22">
        <v>0</v>
      </c>
      <c r="D392" s="3">
        <v>0</v>
      </c>
    </row>
    <row r="393" spans="2:4" x14ac:dyDescent="0.25">
      <c r="B393" s="3">
        <v>23340</v>
      </c>
      <c r="C393" s="22">
        <v>0</v>
      </c>
      <c r="D393" s="3">
        <v>0</v>
      </c>
    </row>
    <row r="394" spans="2:4" x14ac:dyDescent="0.25">
      <c r="B394" s="3">
        <v>23400</v>
      </c>
      <c r="C394" s="22">
        <v>0</v>
      </c>
      <c r="D394" s="3">
        <v>0</v>
      </c>
    </row>
    <row r="395" spans="2:4" x14ac:dyDescent="0.25">
      <c r="B395" s="3">
        <v>23460</v>
      </c>
      <c r="C395" s="22">
        <v>0</v>
      </c>
      <c r="D395" s="3">
        <v>0</v>
      </c>
    </row>
    <row r="396" spans="2:4" x14ac:dyDescent="0.25">
      <c r="B396" s="3">
        <v>23520</v>
      </c>
      <c r="C396" s="22">
        <v>0</v>
      </c>
      <c r="D396" s="3">
        <v>0</v>
      </c>
    </row>
    <row r="397" spans="2:4" x14ac:dyDescent="0.25">
      <c r="B397" s="3">
        <v>23580</v>
      </c>
      <c r="C397" s="22">
        <v>0</v>
      </c>
      <c r="D397" s="3">
        <v>0</v>
      </c>
    </row>
    <row r="398" spans="2:4" x14ac:dyDescent="0.25">
      <c r="B398" s="3">
        <v>23640</v>
      </c>
      <c r="C398" s="22">
        <v>0</v>
      </c>
      <c r="D398" s="3">
        <v>0</v>
      </c>
    </row>
    <row r="399" spans="2:4" x14ac:dyDescent="0.25">
      <c r="B399" s="3">
        <v>23700</v>
      </c>
      <c r="C399" s="22">
        <v>0</v>
      </c>
      <c r="D399" s="3">
        <v>0</v>
      </c>
    </row>
    <row r="400" spans="2:4" x14ac:dyDescent="0.25">
      <c r="B400" s="3">
        <v>23760</v>
      </c>
      <c r="C400" s="22">
        <v>0</v>
      </c>
      <c r="D400" s="3">
        <v>0</v>
      </c>
    </row>
    <row r="401" spans="2:4" x14ac:dyDescent="0.25">
      <c r="B401" s="3">
        <v>23820</v>
      </c>
      <c r="C401" s="22">
        <v>0</v>
      </c>
      <c r="D401" s="3">
        <v>0</v>
      </c>
    </row>
    <row r="402" spans="2:4" x14ac:dyDescent="0.25">
      <c r="B402" s="3">
        <v>23880</v>
      </c>
      <c r="C402" s="22">
        <v>0</v>
      </c>
      <c r="D402" s="3">
        <v>0</v>
      </c>
    </row>
    <row r="403" spans="2:4" x14ac:dyDescent="0.25">
      <c r="B403" s="3">
        <v>23940</v>
      </c>
      <c r="C403" s="22">
        <v>0</v>
      </c>
      <c r="D403" s="3">
        <v>0</v>
      </c>
    </row>
    <row r="404" spans="2:4" x14ac:dyDescent="0.25">
      <c r="B404" s="3">
        <v>24000</v>
      </c>
      <c r="C404" s="22">
        <v>0</v>
      </c>
      <c r="D404" s="3">
        <v>0</v>
      </c>
    </row>
    <row r="405" spans="2:4" x14ac:dyDescent="0.25">
      <c r="B405" s="3">
        <v>24060</v>
      </c>
      <c r="C405" s="22">
        <v>0</v>
      </c>
      <c r="D405" s="3">
        <v>0</v>
      </c>
    </row>
    <row r="406" spans="2:4" x14ac:dyDescent="0.25">
      <c r="B406" s="3">
        <v>24120</v>
      </c>
      <c r="C406" s="22">
        <v>0</v>
      </c>
      <c r="D406" s="3">
        <v>0</v>
      </c>
    </row>
    <row r="407" spans="2:4" x14ac:dyDescent="0.25">
      <c r="B407" s="3">
        <v>24180</v>
      </c>
      <c r="C407" s="22">
        <v>0</v>
      </c>
      <c r="D407" s="3">
        <v>0</v>
      </c>
    </row>
    <row r="408" spans="2:4" x14ac:dyDescent="0.25">
      <c r="B408" s="3">
        <v>24240</v>
      </c>
      <c r="C408" s="22">
        <v>0</v>
      </c>
      <c r="D408" s="3">
        <v>0</v>
      </c>
    </row>
    <row r="409" spans="2:4" x14ac:dyDescent="0.25">
      <c r="B409" s="3">
        <v>24300</v>
      </c>
      <c r="C409" s="22">
        <v>0</v>
      </c>
      <c r="D409" s="3">
        <v>0</v>
      </c>
    </row>
    <row r="410" spans="2:4" x14ac:dyDescent="0.25">
      <c r="B410" s="3">
        <v>24360</v>
      </c>
      <c r="C410" s="22">
        <v>0</v>
      </c>
      <c r="D410" s="3">
        <v>0</v>
      </c>
    </row>
    <row r="411" spans="2:4" x14ac:dyDescent="0.25">
      <c r="B411" s="3">
        <v>24420</v>
      </c>
      <c r="C411" s="22">
        <v>0</v>
      </c>
      <c r="D411" s="3">
        <v>0</v>
      </c>
    </row>
    <row r="412" spans="2:4" x14ac:dyDescent="0.25">
      <c r="B412" s="3">
        <v>24480</v>
      </c>
      <c r="C412" s="22">
        <v>0</v>
      </c>
      <c r="D412" s="3">
        <v>0</v>
      </c>
    </row>
    <row r="413" spans="2:4" x14ac:dyDescent="0.25">
      <c r="B413" s="3">
        <v>24540</v>
      </c>
      <c r="C413" s="22">
        <v>0</v>
      </c>
      <c r="D413" s="3">
        <v>0</v>
      </c>
    </row>
    <row r="414" spans="2:4" x14ac:dyDescent="0.25">
      <c r="B414" s="3">
        <v>24600</v>
      </c>
      <c r="C414" s="22">
        <v>0</v>
      </c>
      <c r="D414" s="3">
        <v>0</v>
      </c>
    </row>
    <row r="415" spans="2:4" x14ac:dyDescent="0.25">
      <c r="B415" s="3">
        <v>24660</v>
      </c>
      <c r="C415" s="22">
        <v>0</v>
      </c>
      <c r="D415" s="3">
        <v>0</v>
      </c>
    </row>
    <row r="416" spans="2:4" x14ac:dyDescent="0.25">
      <c r="B416" s="3">
        <v>24720</v>
      </c>
      <c r="C416" s="22">
        <v>0</v>
      </c>
      <c r="D416" s="3">
        <v>0</v>
      </c>
    </row>
    <row r="417" spans="2:4" x14ac:dyDescent="0.25">
      <c r="B417" s="3">
        <v>24780</v>
      </c>
      <c r="C417" s="22">
        <v>0</v>
      </c>
      <c r="D417" s="3">
        <v>0</v>
      </c>
    </row>
    <row r="418" spans="2:4" x14ac:dyDescent="0.25">
      <c r="B418" s="3">
        <v>24840</v>
      </c>
      <c r="C418" s="22">
        <v>0</v>
      </c>
      <c r="D418" s="3">
        <v>0</v>
      </c>
    </row>
    <row r="419" spans="2:4" x14ac:dyDescent="0.25">
      <c r="B419" s="3">
        <v>24900</v>
      </c>
      <c r="C419" s="22">
        <v>0</v>
      </c>
      <c r="D419" s="3">
        <v>0</v>
      </c>
    </row>
    <row r="420" spans="2:4" x14ac:dyDescent="0.25">
      <c r="B420" s="3">
        <v>24960</v>
      </c>
      <c r="C420" s="22">
        <v>0</v>
      </c>
      <c r="D420" s="3">
        <v>0</v>
      </c>
    </row>
    <row r="421" spans="2:4" x14ac:dyDescent="0.25">
      <c r="B421" s="3">
        <v>25020</v>
      </c>
      <c r="C421" s="22">
        <v>0</v>
      </c>
      <c r="D421" s="3">
        <v>0</v>
      </c>
    </row>
    <row r="422" spans="2:4" x14ac:dyDescent="0.25">
      <c r="B422" s="3">
        <v>25080</v>
      </c>
      <c r="C422" s="22">
        <v>0</v>
      </c>
      <c r="D422" s="3">
        <v>0</v>
      </c>
    </row>
    <row r="423" spans="2:4" x14ac:dyDescent="0.25">
      <c r="B423" s="3">
        <v>25140</v>
      </c>
      <c r="C423" s="22">
        <v>0</v>
      </c>
      <c r="D423" s="3">
        <v>0</v>
      </c>
    </row>
    <row r="424" spans="2:4" x14ac:dyDescent="0.25">
      <c r="B424" s="3">
        <v>25200</v>
      </c>
      <c r="C424" s="22">
        <v>11.644807365</v>
      </c>
      <c r="D424" s="3">
        <v>0</v>
      </c>
    </row>
    <row r="425" spans="2:4" x14ac:dyDescent="0.25">
      <c r="B425" s="3">
        <v>25260</v>
      </c>
      <c r="C425" s="22">
        <v>11.741104455</v>
      </c>
      <c r="D425" s="3">
        <v>0</v>
      </c>
    </row>
    <row r="426" spans="2:4" x14ac:dyDescent="0.25">
      <c r="B426" s="3">
        <v>25320</v>
      </c>
      <c r="C426" s="22">
        <v>11.650574450000001</v>
      </c>
      <c r="D426" s="3">
        <v>0</v>
      </c>
    </row>
    <row r="427" spans="2:4" x14ac:dyDescent="0.25">
      <c r="B427" s="3">
        <v>25380</v>
      </c>
      <c r="C427" s="22">
        <v>8.05562425E-2</v>
      </c>
      <c r="D427" s="3">
        <v>0</v>
      </c>
    </row>
    <row r="428" spans="2:4" x14ac:dyDescent="0.25">
      <c r="B428" s="3">
        <v>25440</v>
      </c>
      <c r="C428" s="22">
        <v>0</v>
      </c>
      <c r="D428" s="3">
        <v>0</v>
      </c>
    </row>
    <row r="429" spans="2:4" x14ac:dyDescent="0.25">
      <c r="B429" s="3">
        <v>25500</v>
      </c>
      <c r="C429" s="22">
        <v>0</v>
      </c>
      <c r="D429" s="3">
        <v>0</v>
      </c>
    </row>
    <row r="430" spans="2:4" x14ac:dyDescent="0.25">
      <c r="B430" s="3">
        <v>25560</v>
      </c>
      <c r="C430" s="22">
        <v>0</v>
      </c>
      <c r="D430" s="3">
        <v>0</v>
      </c>
    </row>
    <row r="431" spans="2:4" x14ac:dyDescent="0.25">
      <c r="B431" s="3">
        <v>25620</v>
      </c>
      <c r="C431" s="22">
        <v>0</v>
      </c>
      <c r="D431" s="3">
        <v>0</v>
      </c>
    </row>
    <row r="432" spans="2:4" x14ac:dyDescent="0.25">
      <c r="B432" s="3">
        <v>25680</v>
      </c>
      <c r="C432" s="22">
        <v>0</v>
      </c>
      <c r="D432" s="3">
        <v>0</v>
      </c>
    </row>
    <row r="433" spans="2:4" x14ac:dyDescent="0.25">
      <c r="B433" s="3">
        <v>25740</v>
      </c>
      <c r="C433" s="22">
        <v>0</v>
      </c>
      <c r="D433" s="3">
        <v>0</v>
      </c>
    </row>
    <row r="434" spans="2:4" x14ac:dyDescent="0.25">
      <c r="B434" s="3">
        <v>25800</v>
      </c>
      <c r="C434" s="22">
        <v>11.434302819999999</v>
      </c>
      <c r="D434" s="3">
        <v>0</v>
      </c>
    </row>
    <row r="435" spans="2:4" x14ac:dyDescent="0.25">
      <c r="B435" s="3">
        <v>25860</v>
      </c>
      <c r="C435" s="22">
        <v>11.726861209999999</v>
      </c>
      <c r="D435" s="3">
        <v>0</v>
      </c>
    </row>
    <row r="436" spans="2:4" x14ac:dyDescent="0.25">
      <c r="B436" s="3">
        <v>25920</v>
      </c>
      <c r="C436" s="22">
        <v>11.718373335000001</v>
      </c>
      <c r="D436" s="3">
        <v>0</v>
      </c>
    </row>
    <row r="437" spans="2:4" x14ac:dyDescent="0.25">
      <c r="B437" s="3">
        <v>25980</v>
      </c>
      <c r="C437" s="22">
        <v>0.34175069000000002</v>
      </c>
      <c r="D437" s="3">
        <v>0</v>
      </c>
    </row>
    <row r="438" spans="2:4" x14ac:dyDescent="0.25">
      <c r="B438" s="3">
        <v>26040</v>
      </c>
      <c r="C438" s="22">
        <v>0</v>
      </c>
      <c r="D438" s="3">
        <v>0</v>
      </c>
    </row>
    <row r="439" spans="2:4" x14ac:dyDescent="0.25">
      <c r="B439" s="3">
        <v>26100</v>
      </c>
      <c r="C439" s="22">
        <v>0</v>
      </c>
      <c r="D439" s="3">
        <v>0</v>
      </c>
    </row>
    <row r="440" spans="2:4" x14ac:dyDescent="0.25">
      <c r="B440" s="3">
        <v>26160</v>
      </c>
      <c r="C440" s="22">
        <v>0</v>
      </c>
      <c r="D440" s="3">
        <v>0</v>
      </c>
    </row>
    <row r="441" spans="2:4" x14ac:dyDescent="0.25">
      <c r="B441" s="3">
        <v>26220</v>
      </c>
      <c r="C441" s="22">
        <v>0</v>
      </c>
      <c r="D441" s="3">
        <v>0</v>
      </c>
    </row>
    <row r="442" spans="2:4" x14ac:dyDescent="0.25">
      <c r="B442" s="3">
        <v>26280</v>
      </c>
      <c r="C442" s="22">
        <v>0</v>
      </c>
      <c r="D442" s="3">
        <v>0</v>
      </c>
    </row>
    <row r="443" spans="2:4" x14ac:dyDescent="0.25">
      <c r="B443" s="3">
        <v>26340</v>
      </c>
      <c r="C443" s="22">
        <v>0</v>
      </c>
      <c r="D443" s="3">
        <v>0</v>
      </c>
    </row>
    <row r="444" spans="2:4" x14ac:dyDescent="0.25">
      <c r="B444" s="3">
        <v>26400</v>
      </c>
      <c r="C444" s="22">
        <v>0</v>
      </c>
      <c r="D444" s="3">
        <v>0</v>
      </c>
    </row>
    <row r="445" spans="2:4" x14ac:dyDescent="0.25">
      <c r="B445" s="3">
        <v>26460</v>
      </c>
      <c r="C445" s="22">
        <v>0</v>
      </c>
      <c r="D445" s="3">
        <v>0</v>
      </c>
    </row>
    <row r="446" spans="2:4" x14ac:dyDescent="0.25">
      <c r="B446" s="3">
        <v>26520</v>
      </c>
      <c r="C446" s="22">
        <v>0</v>
      </c>
      <c r="D446" s="3">
        <v>0</v>
      </c>
    </row>
    <row r="447" spans="2:4" x14ac:dyDescent="0.25">
      <c r="B447" s="3">
        <v>26580</v>
      </c>
      <c r="C447" s="22">
        <v>0</v>
      </c>
      <c r="D447" s="3">
        <v>0</v>
      </c>
    </row>
    <row r="448" spans="2:4" x14ac:dyDescent="0.25">
      <c r="B448" s="3">
        <v>26640</v>
      </c>
      <c r="C448" s="22">
        <v>0</v>
      </c>
      <c r="D448" s="3">
        <v>0</v>
      </c>
    </row>
    <row r="449" spans="2:4" x14ac:dyDescent="0.25">
      <c r="B449" s="3">
        <v>26700</v>
      </c>
      <c r="C449" s="22">
        <v>0</v>
      </c>
      <c r="D449" s="3">
        <v>0</v>
      </c>
    </row>
    <row r="450" spans="2:4" x14ac:dyDescent="0.25">
      <c r="B450" s="3">
        <v>26760</v>
      </c>
      <c r="C450" s="22">
        <v>0</v>
      </c>
      <c r="D450" s="3">
        <v>0</v>
      </c>
    </row>
    <row r="451" spans="2:4" x14ac:dyDescent="0.25">
      <c r="B451" s="3">
        <v>26820</v>
      </c>
      <c r="C451" s="22">
        <v>0</v>
      </c>
      <c r="D451" s="3">
        <v>0</v>
      </c>
    </row>
    <row r="452" spans="2:4" x14ac:dyDescent="0.25">
      <c r="B452" s="3">
        <v>26880</v>
      </c>
      <c r="C452" s="22">
        <v>0</v>
      </c>
      <c r="D452" s="3">
        <v>0</v>
      </c>
    </row>
    <row r="453" spans="2:4" x14ac:dyDescent="0.25">
      <c r="B453" s="3">
        <v>26940</v>
      </c>
      <c r="C453" s="22">
        <v>0</v>
      </c>
      <c r="D453" s="3">
        <v>0</v>
      </c>
    </row>
    <row r="454" spans="2:4" x14ac:dyDescent="0.25">
      <c r="B454" s="3">
        <v>27000</v>
      </c>
      <c r="C454" s="22">
        <v>0</v>
      </c>
      <c r="D454" s="3">
        <v>0</v>
      </c>
    </row>
    <row r="455" spans="2:4" x14ac:dyDescent="0.25">
      <c r="B455" s="3">
        <v>27060</v>
      </c>
      <c r="C455" s="22">
        <v>0</v>
      </c>
      <c r="D455" s="3">
        <v>0</v>
      </c>
    </row>
    <row r="456" spans="2:4" x14ac:dyDescent="0.25">
      <c r="B456" s="3">
        <v>27120</v>
      </c>
      <c r="C456" s="22">
        <v>0</v>
      </c>
      <c r="D456" s="3">
        <v>0</v>
      </c>
    </row>
    <row r="457" spans="2:4" x14ac:dyDescent="0.25">
      <c r="B457" s="3">
        <v>27180</v>
      </c>
      <c r="C457" s="22">
        <v>0</v>
      </c>
      <c r="D457" s="3">
        <v>0</v>
      </c>
    </row>
    <row r="458" spans="2:4" x14ac:dyDescent="0.25">
      <c r="B458" s="3">
        <v>27240</v>
      </c>
      <c r="C458" s="22">
        <v>0</v>
      </c>
      <c r="D458" s="3">
        <v>0</v>
      </c>
    </row>
    <row r="459" spans="2:4" x14ac:dyDescent="0.25">
      <c r="B459" s="3">
        <v>27300</v>
      </c>
      <c r="C459" s="22">
        <v>0</v>
      </c>
      <c r="D459" s="3">
        <v>0</v>
      </c>
    </row>
    <row r="460" spans="2:4" x14ac:dyDescent="0.25">
      <c r="B460" s="3">
        <v>27360</v>
      </c>
      <c r="C460" s="22">
        <v>0</v>
      </c>
      <c r="D460" s="3">
        <v>0</v>
      </c>
    </row>
    <row r="461" spans="2:4" x14ac:dyDescent="0.25">
      <c r="B461" s="3">
        <v>27420</v>
      </c>
      <c r="C461" s="22">
        <v>0</v>
      </c>
      <c r="D461" s="3">
        <v>0</v>
      </c>
    </row>
    <row r="462" spans="2:4" x14ac:dyDescent="0.25">
      <c r="B462" s="3">
        <v>27480</v>
      </c>
      <c r="C462" s="22">
        <v>0</v>
      </c>
      <c r="D462" s="3">
        <v>0</v>
      </c>
    </row>
    <row r="463" spans="2:4" x14ac:dyDescent="0.25">
      <c r="B463" s="3">
        <v>27540</v>
      </c>
      <c r="C463" s="22">
        <v>0</v>
      </c>
      <c r="D463" s="3">
        <v>0</v>
      </c>
    </row>
    <row r="464" spans="2:4" x14ac:dyDescent="0.25">
      <c r="B464" s="3">
        <v>27600</v>
      </c>
      <c r="C464" s="22">
        <v>0</v>
      </c>
      <c r="D464" s="3">
        <v>0</v>
      </c>
    </row>
    <row r="465" spans="2:4" x14ac:dyDescent="0.25">
      <c r="B465" s="3">
        <v>27660</v>
      </c>
      <c r="C465" s="22">
        <v>0</v>
      </c>
      <c r="D465" s="3">
        <v>0</v>
      </c>
    </row>
    <row r="466" spans="2:4" x14ac:dyDescent="0.25">
      <c r="B466" s="3">
        <v>27720</v>
      </c>
      <c r="C466" s="22">
        <v>0</v>
      </c>
      <c r="D466" s="3">
        <v>0</v>
      </c>
    </row>
    <row r="467" spans="2:4" x14ac:dyDescent="0.25">
      <c r="B467" s="3">
        <v>27780</v>
      </c>
      <c r="C467" s="22">
        <v>0</v>
      </c>
      <c r="D467" s="3">
        <v>0</v>
      </c>
    </row>
    <row r="468" spans="2:4" x14ac:dyDescent="0.25">
      <c r="B468" s="3">
        <v>27840</v>
      </c>
      <c r="C468" s="22">
        <v>0</v>
      </c>
      <c r="D468" s="3">
        <v>0</v>
      </c>
    </row>
    <row r="469" spans="2:4" x14ac:dyDescent="0.25">
      <c r="B469" s="3">
        <v>27900</v>
      </c>
      <c r="C469" s="22">
        <v>0</v>
      </c>
      <c r="D469" s="3">
        <v>0</v>
      </c>
    </row>
    <row r="470" spans="2:4" x14ac:dyDescent="0.25">
      <c r="B470" s="3">
        <v>27960</v>
      </c>
      <c r="C470" s="22">
        <v>0</v>
      </c>
      <c r="D470" s="3">
        <v>0</v>
      </c>
    </row>
    <row r="471" spans="2:4" x14ac:dyDescent="0.25">
      <c r="B471" s="3">
        <v>28020</v>
      </c>
      <c r="C471" s="22">
        <v>0</v>
      </c>
      <c r="D471" s="3">
        <v>0</v>
      </c>
    </row>
    <row r="472" spans="2:4" x14ac:dyDescent="0.25">
      <c r="B472" s="3">
        <v>28080</v>
      </c>
      <c r="C472" s="22">
        <v>0</v>
      </c>
      <c r="D472" s="3">
        <v>0</v>
      </c>
    </row>
    <row r="473" spans="2:4" x14ac:dyDescent="0.25">
      <c r="B473" s="3">
        <v>28140</v>
      </c>
      <c r="C473" s="22">
        <v>0</v>
      </c>
      <c r="D473" s="3">
        <v>0</v>
      </c>
    </row>
    <row r="474" spans="2:4" x14ac:dyDescent="0.25">
      <c r="B474" s="3">
        <v>28200</v>
      </c>
      <c r="C474" s="22">
        <v>0</v>
      </c>
      <c r="D474" s="3">
        <v>0</v>
      </c>
    </row>
    <row r="475" spans="2:4" x14ac:dyDescent="0.25">
      <c r="B475" s="3">
        <v>28260</v>
      </c>
      <c r="C475" s="22">
        <v>0</v>
      </c>
      <c r="D475" s="3">
        <v>0</v>
      </c>
    </row>
    <row r="476" spans="2:4" x14ac:dyDescent="0.25">
      <c r="B476" s="3">
        <v>28320</v>
      </c>
      <c r="C476" s="22">
        <v>0</v>
      </c>
      <c r="D476" s="3">
        <v>0</v>
      </c>
    </row>
    <row r="477" spans="2:4" x14ac:dyDescent="0.25">
      <c r="B477" s="3">
        <v>28380</v>
      </c>
      <c r="C477" s="22">
        <v>0</v>
      </c>
      <c r="D477" s="3">
        <v>0</v>
      </c>
    </row>
    <row r="478" spans="2:4" x14ac:dyDescent="0.25">
      <c r="B478" s="3">
        <v>28440</v>
      </c>
      <c r="C478" s="22">
        <v>0</v>
      </c>
      <c r="D478" s="3">
        <v>0</v>
      </c>
    </row>
    <row r="479" spans="2:4" x14ac:dyDescent="0.25">
      <c r="B479" s="3">
        <v>28500</v>
      </c>
      <c r="C479" s="22">
        <v>0</v>
      </c>
      <c r="D479" s="3">
        <v>0</v>
      </c>
    </row>
    <row r="480" spans="2:4" x14ac:dyDescent="0.25">
      <c r="B480" s="3">
        <v>28560</v>
      </c>
      <c r="C480" s="22">
        <v>0</v>
      </c>
      <c r="D480" s="3">
        <v>0</v>
      </c>
    </row>
    <row r="481" spans="2:4" x14ac:dyDescent="0.25">
      <c r="B481" s="3">
        <v>28620</v>
      </c>
      <c r="C481" s="22">
        <v>0</v>
      </c>
      <c r="D481" s="3">
        <v>0</v>
      </c>
    </row>
    <row r="482" spans="2:4" x14ac:dyDescent="0.25">
      <c r="B482" s="3">
        <v>28680</v>
      </c>
      <c r="C482" s="22">
        <v>0</v>
      </c>
      <c r="D482" s="3">
        <v>0</v>
      </c>
    </row>
    <row r="483" spans="2:4" x14ac:dyDescent="0.25">
      <c r="B483" s="3">
        <v>28740</v>
      </c>
      <c r="C483" s="22">
        <v>0</v>
      </c>
      <c r="D483" s="3">
        <v>0</v>
      </c>
    </row>
    <row r="484" spans="2:4" x14ac:dyDescent="0.25">
      <c r="B484" s="3">
        <v>28800</v>
      </c>
      <c r="C484" s="22">
        <v>0</v>
      </c>
      <c r="D484" s="3">
        <v>0</v>
      </c>
    </row>
    <row r="485" spans="2:4" x14ac:dyDescent="0.25">
      <c r="B485" s="3">
        <v>28860</v>
      </c>
      <c r="C485" s="22">
        <v>0</v>
      </c>
      <c r="D485" s="3">
        <v>0</v>
      </c>
    </row>
    <row r="486" spans="2:4" x14ac:dyDescent="0.25">
      <c r="B486" s="3">
        <v>28920</v>
      </c>
      <c r="C486" s="22">
        <v>0</v>
      </c>
      <c r="D486" s="3">
        <v>0</v>
      </c>
    </row>
    <row r="487" spans="2:4" x14ac:dyDescent="0.25">
      <c r="B487" s="3">
        <v>28980</v>
      </c>
      <c r="C487" s="22">
        <v>0</v>
      </c>
      <c r="D487" s="3">
        <v>0</v>
      </c>
    </row>
    <row r="488" spans="2:4" x14ac:dyDescent="0.25">
      <c r="B488" s="3">
        <v>29040</v>
      </c>
      <c r="C488" s="22">
        <v>0</v>
      </c>
      <c r="D488" s="3">
        <v>0</v>
      </c>
    </row>
    <row r="489" spans="2:4" x14ac:dyDescent="0.25">
      <c r="B489" s="3">
        <v>29100</v>
      </c>
      <c r="C489" s="22">
        <v>0</v>
      </c>
      <c r="D489" s="3">
        <v>0</v>
      </c>
    </row>
    <row r="490" spans="2:4" x14ac:dyDescent="0.25">
      <c r="B490" s="3">
        <v>29160</v>
      </c>
      <c r="C490" s="22">
        <v>0</v>
      </c>
      <c r="D490" s="3">
        <v>0</v>
      </c>
    </row>
    <row r="491" spans="2:4" x14ac:dyDescent="0.25">
      <c r="B491" s="3">
        <v>29220</v>
      </c>
      <c r="C491" s="22">
        <v>0</v>
      </c>
      <c r="D491" s="3">
        <v>0</v>
      </c>
    </row>
    <row r="492" spans="2:4" x14ac:dyDescent="0.25">
      <c r="B492" s="3">
        <v>29280</v>
      </c>
      <c r="C492" s="22">
        <v>0</v>
      </c>
      <c r="D492" s="3">
        <v>0</v>
      </c>
    </row>
    <row r="493" spans="2:4" x14ac:dyDescent="0.25">
      <c r="B493" s="3">
        <v>29340</v>
      </c>
      <c r="C493" s="22">
        <v>0</v>
      </c>
      <c r="D493" s="3">
        <v>0</v>
      </c>
    </row>
    <row r="494" spans="2:4" x14ac:dyDescent="0.25">
      <c r="B494" s="3">
        <v>29400</v>
      </c>
      <c r="C494" s="22">
        <v>0</v>
      </c>
      <c r="D494" s="3">
        <v>0</v>
      </c>
    </row>
    <row r="495" spans="2:4" x14ac:dyDescent="0.25">
      <c r="B495" s="3">
        <v>29460</v>
      </c>
      <c r="C495" s="22">
        <v>0</v>
      </c>
      <c r="D495" s="3">
        <v>0</v>
      </c>
    </row>
    <row r="496" spans="2:4" x14ac:dyDescent="0.25">
      <c r="B496" s="3">
        <v>29520</v>
      </c>
      <c r="C496" s="22">
        <v>0</v>
      </c>
      <c r="D496" s="3">
        <v>0</v>
      </c>
    </row>
    <row r="497" spans="2:4" x14ac:dyDescent="0.25">
      <c r="B497" s="3">
        <v>29580</v>
      </c>
      <c r="C497" s="22">
        <v>0</v>
      </c>
      <c r="D497" s="3">
        <v>0</v>
      </c>
    </row>
    <row r="498" spans="2:4" x14ac:dyDescent="0.25">
      <c r="B498" s="3">
        <v>29640</v>
      </c>
      <c r="C498" s="22">
        <v>0</v>
      </c>
      <c r="D498" s="3">
        <v>0</v>
      </c>
    </row>
    <row r="499" spans="2:4" x14ac:dyDescent="0.25">
      <c r="B499" s="3">
        <v>29700</v>
      </c>
      <c r="C499" s="22">
        <v>0</v>
      </c>
      <c r="D499" s="3">
        <v>0</v>
      </c>
    </row>
    <row r="500" spans="2:4" x14ac:dyDescent="0.25">
      <c r="B500" s="3">
        <v>29760</v>
      </c>
      <c r="C500" s="22">
        <v>0</v>
      </c>
      <c r="D500" s="3">
        <v>0</v>
      </c>
    </row>
    <row r="501" spans="2:4" x14ac:dyDescent="0.25">
      <c r="B501" s="3">
        <v>29820</v>
      </c>
      <c r="C501" s="22">
        <v>0</v>
      </c>
      <c r="D501" s="3">
        <v>0</v>
      </c>
    </row>
    <row r="502" spans="2:4" x14ac:dyDescent="0.25">
      <c r="B502" s="3">
        <v>29880</v>
      </c>
      <c r="C502" s="22">
        <v>0</v>
      </c>
      <c r="D502" s="3">
        <v>0</v>
      </c>
    </row>
    <row r="503" spans="2:4" x14ac:dyDescent="0.25">
      <c r="B503" s="3">
        <v>29940</v>
      </c>
      <c r="C503" s="22">
        <v>0</v>
      </c>
      <c r="D503" s="3">
        <v>0</v>
      </c>
    </row>
    <row r="504" spans="2:4" x14ac:dyDescent="0.25">
      <c r="B504" s="3">
        <v>30000</v>
      </c>
      <c r="C504" s="22">
        <v>0</v>
      </c>
      <c r="D504" s="3">
        <v>0</v>
      </c>
    </row>
    <row r="505" spans="2:4" x14ac:dyDescent="0.25">
      <c r="B505" s="3">
        <v>30060</v>
      </c>
      <c r="C505" s="22">
        <v>0</v>
      </c>
      <c r="D505" s="3">
        <v>0</v>
      </c>
    </row>
    <row r="506" spans="2:4" x14ac:dyDescent="0.25">
      <c r="B506" s="3">
        <v>30120</v>
      </c>
      <c r="C506" s="22">
        <v>0</v>
      </c>
      <c r="D506" s="3">
        <v>0</v>
      </c>
    </row>
    <row r="507" spans="2:4" x14ac:dyDescent="0.25">
      <c r="B507" s="3">
        <v>30180</v>
      </c>
      <c r="C507" s="22">
        <v>0</v>
      </c>
      <c r="D507" s="3">
        <v>0</v>
      </c>
    </row>
    <row r="508" spans="2:4" x14ac:dyDescent="0.25">
      <c r="B508" s="3">
        <v>30240</v>
      </c>
      <c r="C508" s="22">
        <v>11.498740270000001</v>
      </c>
      <c r="D508" s="3">
        <v>0</v>
      </c>
    </row>
    <row r="509" spans="2:4" x14ac:dyDescent="0.25">
      <c r="B509" s="3">
        <v>30300</v>
      </c>
      <c r="C509" s="22">
        <v>11.758935514999999</v>
      </c>
      <c r="D509" s="3">
        <v>0</v>
      </c>
    </row>
    <row r="510" spans="2:4" x14ac:dyDescent="0.25">
      <c r="B510" s="3">
        <v>30360</v>
      </c>
      <c r="C510" s="22">
        <v>11.682019365</v>
      </c>
      <c r="D510" s="3">
        <v>0</v>
      </c>
    </row>
    <row r="511" spans="2:4" x14ac:dyDescent="0.25">
      <c r="B511" s="3">
        <v>30420</v>
      </c>
      <c r="C511" s="22">
        <v>0.45667393950000001</v>
      </c>
      <c r="D511" s="3">
        <v>0</v>
      </c>
    </row>
    <row r="512" spans="2:4" x14ac:dyDescent="0.25">
      <c r="B512" s="3">
        <v>30480</v>
      </c>
      <c r="C512" s="22">
        <v>0</v>
      </c>
      <c r="D512" s="3">
        <v>0</v>
      </c>
    </row>
    <row r="513" spans="2:4" x14ac:dyDescent="0.25">
      <c r="B513" s="3">
        <v>30540</v>
      </c>
      <c r="C513" s="22">
        <v>0</v>
      </c>
      <c r="D513" s="3">
        <v>0</v>
      </c>
    </row>
    <row r="514" spans="2:4" x14ac:dyDescent="0.25">
      <c r="B514" s="3">
        <v>30600</v>
      </c>
      <c r="C514" s="22">
        <v>0</v>
      </c>
      <c r="D514" s="3">
        <v>0</v>
      </c>
    </row>
    <row r="515" spans="2:4" x14ac:dyDescent="0.25">
      <c r="B515" s="3">
        <v>30660</v>
      </c>
      <c r="C515" s="22">
        <v>0</v>
      </c>
      <c r="D515" s="3">
        <v>0</v>
      </c>
    </row>
    <row r="516" spans="2:4" x14ac:dyDescent="0.25">
      <c r="B516" s="3">
        <v>30720</v>
      </c>
      <c r="C516" s="22">
        <v>0</v>
      </c>
      <c r="D516" s="3">
        <v>0</v>
      </c>
    </row>
    <row r="517" spans="2:4" x14ac:dyDescent="0.25">
      <c r="B517" s="3">
        <v>30780</v>
      </c>
      <c r="C517" s="22">
        <v>0</v>
      </c>
      <c r="D517" s="3">
        <v>0</v>
      </c>
    </row>
    <row r="518" spans="2:4" x14ac:dyDescent="0.25">
      <c r="B518" s="3">
        <v>30840</v>
      </c>
      <c r="C518" s="22">
        <v>11.52961406</v>
      </c>
      <c r="D518" s="3">
        <v>0</v>
      </c>
    </row>
    <row r="519" spans="2:4" x14ac:dyDescent="0.25">
      <c r="B519" s="3">
        <v>30900</v>
      </c>
      <c r="C519" s="22">
        <v>11.78873112</v>
      </c>
      <c r="D519" s="3">
        <v>0</v>
      </c>
    </row>
    <row r="520" spans="2:4" x14ac:dyDescent="0.25">
      <c r="B520" s="3">
        <v>30960</v>
      </c>
      <c r="C520" s="22">
        <v>11.70244988</v>
      </c>
      <c r="D520" s="3">
        <v>0</v>
      </c>
    </row>
    <row r="521" spans="2:4" x14ac:dyDescent="0.25">
      <c r="B521" s="3">
        <v>31020</v>
      </c>
      <c r="C521" s="22">
        <v>0.51819537900000001</v>
      </c>
      <c r="D521" s="3">
        <v>0</v>
      </c>
    </row>
    <row r="522" spans="2:4" x14ac:dyDescent="0.25">
      <c r="B522" s="3">
        <v>31080</v>
      </c>
      <c r="C522" s="22">
        <v>0</v>
      </c>
      <c r="D522" s="3">
        <v>0</v>
      </c>
    </row>
    <row r="523" spans="2:4" x14ac:dyDescent="0.25">
      <c r="B523" s="3">
        <v>31140</v>
      </c>
      <c r="C523" s="22">
        <v>0</v>
      </c>
      <c r="D523" s="3">
        <v>0</v>
      </c>
    </row>
    <row r="524" spans="2:4" x14ac:dyDescent="0.25">
      <c r="B524" s="3">
        <v>31200</v>
      </c>
      <c r="C524" s="22">
        <v>0</v>
      </c>
      <c r="D524" s="3">
        <v>0</v>
      </c>
    </row>
    <row r="525" spans="2:4" x14ac:dyDescent="0.25">
      <c r="B525" s="3">
        <v>31260</v>
      </c>
      <c r="C525" s="22">
        <v>0</v>
      </c>
      <c r="D525" s="3">
        <v>0</v>
      </c>
    </row>
    <row r="526" spans="2:4" x14ac:dyDescent="0.25">
      <c r="B526" s="3">
        <v>31320</v>
      </c>
      <c r="C526" s="22">
        <v>0</v>
      </c>
      <c r="D526" s="3">
        <v>0</v>
      </c>
    </row>
    <row r="527" spans="2:4" x14ac:dyDescent="0.25">
      <c r="B527" s="3">
        <v>31380</v>
      </c>
      <c r="C527" s="22">
        <v>0</v>
      </c>
      <c r="D527" s="3">
        <v>0</v>
      </c>
    </row>
    <row r="528" spans="2:4" x14ac:dyDescent="0.25">
      <c r="B528" s="3">
        <v>31440</v>
      </c>
      <c r="C528" s="22">
        <v>0</v>
      </c>
      <c r="D528" s="3">
        <v>0</v>
      </c>
    </row>
    <row r="529" spans="2:4" x14ac:dyDescent="0.25">
      <c r="B529" s="3">
        <v>31500</v>
      </c>
      <c r="C529" s="22">
        <v>0</v>
      </c>
      <c r="D529" s="3">
        <v>0</v>
      </c>
    </row>
    <row r="530" spans="2:4" x14ac:dyDescent="0.25">
      <c r="B530" s="3">
        <v>31560</v>
      </c>
      <c r="C530" s="22">
        <v>0</v>
      </c>
      <c r="D530" s="3">
        <v>0</v>
      </c>
    </row>
    <row r="531" spans="2:4" x14ac:dyDescent="0.25">
      <c r="B531" s="3">
        <v>31620</v>
      </c>
      <c r="C531" s="22">
        <v>0</v>
      </c>
      <c r="D531" s="3">
        <v>0</v>
      </c>
    </row>
    <row r="532" spans="2:4" x14ac:dyDescent="0.25">
      <c r="B532" s="3">
        <v>31680</v>
      </c>
      <c r="C532" s="22">
        <v>0</v>
      </c>
      <c r="D532" s="3">
        <v>0</v>
      </c>
    </row>
    <row r="533" spans="2:4" x14ac:dyDescent="0.25">
      <c r="B533" s="3">
        <v>31740</v>
      </c>
      <c r="C533" s="22">
        <v>0</v>
      </c>
      <c r="D533" s="3">
        <v>0</v>
      </c>
    </row>
    <row r="534" spans="2:4" x14ac:dyDescent="0.25">
      <c r="B534" s="3">
        <v>31800</v>
      </c>
      <c r="C534" s="22">
        <v>0</v>
      </c>
      <c r="D534" s="3">
        <v>0</v>
      </c>
    </row>
    <row r="535" spans="2:4" x14ac:dyDescent="0.25">
      <c r="B535" s="3">
        <v>31860</v>
      </c>
      <c r="C535" s="22">
        <v>0</v>
      </c>
      <c r="D535" s="3">
        <v>0</v>
      </c>
    </row>
    <row r="536" spans="2:4" x14ac:dyDescent="0.25">
      <c r="B536" s="3">
        <v>31920</v>
      </c>
      <c r="C536" s="22">
        <v>0</v>
      </c>
      <c r="D536" s="3">
        <v>0</v>
      </c>
    </row>
    <row r="537" spans="2:4" x14ac:dyDescent="0.25">
      <c r="B537" s="3">
        <v>31980</v>
      </c>
      <c r="C537" s="22">
        <v>0</v>
      </c>
      <c r="D537" s="3">
        <v>0</v>
      </c>
    </row>
    <row r="538" spans="2:4" x14ac:dyDescent="0.25">
      <c r="B538" s="3">
        <v>32040</v>
      </c>
      <c r="C538" s="22">
        <v>0</v>
      </c>
      <c r="D538" s="3">
        <v>0</v>
      </c>
    </row>
    <row r="539" spans="2:4" x14ac:dyDescent="0.25">
      <c r="B539" s="3">
        <v>32100</v>
      </c>
      <c r="C539" s="22">
        <v>0</v>
      </c>
      <c r="D539" s="3">
        <v>0</v>
      </c>
    </row>
    <row r="540" spans="2:4" x14ac:dyDescent="0.25">
      <c r="B540" s="3">
        <v>32160</v>
      </c>
      <c r="C540" s="22">
        <v>0</v>
      </c>
      <c r="D540" s="3">
        <v>0</v>
      </c>
    </row>
    <row r="541" spans="2:4" x14ac:dyDescent="0.25">
      <c r="B541" s="3">
        <v>32220</v>
      </c>
      <c r="C541" s="22">
        <v>0</v>
      </c>
      <c r="D541" s="3">
        <v>0</v>
      </c>
    </row>
    <row r="542" spans="2:4" x14ac:dyDescent="0.25">
      <c r="B542" s="3">
        <v>32280</v>
      </c>
      <c r="C542" s="22">
        <v>0</v>
      </c>
      <c r="D542" s="3">
        <v>0</v>
      </c>
    </row>
    <row r="543" spans="2:4" x14ac:dyDescent="0.25">
      <c r="B543" s="3">
        <v>32340</v>
      </c>
      <c r="C543" s="22">
        <v>0</v>
      </c>
      <c r="D543" s="3">
        <v>0</v>
      </c>
    </row>
    <row r="544" spans="2:4" x14ac:dyDescent="0.25">
      <c r="B544" s="3">
        <v>32400</v>
      </c>
      <c r="C544" s="22">
        <v>0</v>
      </c>
      <c r="D544" s="3">
        <v>0</v>
      </c>
    </row>
    <row r="545" spans="2:4" x14ac:dyDescent="0.25">
      <c r="B545" s="3">
        <v>32460</v>
      </c>
      <c r="C545" s="22">
        <v>0</v>
      </c>
      <c r="D545" s="3">
        <v>0</v>
      </c>
    </row>
    <row r="546" spans="2:4" x14ac:dyDescent="0.25">
      <c r="B546" s="3">
        <v>32520</v>
      </c>
      <c r="C546" s="22">
        <v>0</v>
      </c>
      <c r="D546" s="3">
        <v>0</v>
      </c>
    </row>
    <row r="547" spans="2:4" x14ac:dyDescent="0.25">
      <c r="B547" s="3">
        <v>32580</v>
      </c>
      <c r="C547" s="22">
        <v>0</v>
      </c>
      <c r="D547" s="3">
        <v>0</v>
      </c>
    </row>
    <row r="548" spans="2:4" x14ac:dyDescent="0.25">
      <c r="B548" s="3">
        <v>32640</v>
      </c>
      <c r="C548" s="22">
        <v>0</v>
      </c>
      <c r="D548" s="3">
        <v>0</v>
      </c>
    </row>
    <row r="549" spans="2:4" x14ac:dyDescent="0.25">
      <c r="B549" s="3">
        <v>32700</v>
      </c>
      <c r="C549" s="22">
        <v>0</v>
      </c>
      <c r="D549" s="3">
        <v>0</v>
      </c>
    </row>
    <row r="550" spans="2:4" x14ac:dyDescent="0.25">
      <c r="B550" s="3">
        <v>32760</v>
      </c>
      <c r="C550" s="22">
        <v>0</v>
      </c>
      <c r="D550" s="3">
        <v>0</v>
      </c>
    </row>
    <row r="551" spans="2:4" x14ac:dyDescent="0.25">
      <c r="B551" s="3">
        <v>32820</v>
      </c>
      <c r="C551" s="22">
        <v>0</v>
      </c>
      <c r="D551" s="3">
        <v>0</v>
      </c>
    </row>
    <row r="552" spans="2:4" x14ac:dyDescent="0.25">
      <c r="B552" s="3">
        <v>32880</v>
      </c>
      <c r="C552" s="22">
        <v>0</v>
      </c>
      <c r="D552" s="3">
        <v>0</v>
      </c>
    </row>
    <row r="553" spans="2:4" x14ac:dyDescent="0.25">
      <c r="B553" s="3">
        <v>32940</v>
      </c>
      <c r="C553" s="22">
        <v>0</v>
      </c>
      <c r="D553" s="3">
        <v>0</v>
      </c>
    </row>
    <row r="554" spans="2:4" x14ac:dyDescent="0.25">
      <c r="B554" s="3">
        <v>33000</v>
      </c>
      <c r="C554" s="22">
        <v>0</v>
      </c>
      <c r="D554" s="3">
        <v>0</v>
      </c>
    </row>
    <row r="555" spans="2:4" x14ac:dyDescent="0.25">
      <c r="B555" s="3">
        <v>33060</v>
      </c>
      <c r="C555" s="22">
        <v>0</v>
      </c>
      <c r="D555" s="3">
        <v>0</v>
      </c>
    </row>
    <row r="556" spans="2:4" x14ac:dyDescent="0.25">
      <c r="B556" s="3">
        <v>33120</v>
      </c>
      <c r="C556" s="22">
        <v>0</v>
      </c>
      <c r="D556" s="3">
        <v>0</v>
      </c>
    </row>
    <row r="557" spans="2:4" x14ac:dyDescent="0.25">
      <c r="B557" s="3">
        <v>33180</v>
      </c>
      <c r="C557" s="22">
        <v>0</v>
      </c>
      <c r="D557" s="3">
        <v>0</v>
      </c>
    </row>
    <row r="558" spans="2:4" x14ac:dyDescent="0.25">
      <c r="B558" s="3">
        <v>33240</v>
      </c>
      <c r="C558" s="22">
        <v>0</v>
      </c>
      <c r="D558" s="3">
        <v>0</v>
      </c>
    </row>
    <row r="559" spans="2:4" x14ac:dyDescent="0.25">
      <c r="B559" s="3">
        <v>33300</v>
      </c>
      <c r="C559" s="22">
        <v>0</v>
      </c>
      <c r="D559" s="3">
        <v>0</v>
      </c>
    </row>
    <row r="560" spans="2:4" x14ac:dyDescent="0.25">
      <c r="B560" s="3">
        <v>33360</v>
      </c>
      <c r="C560" s="22">
        <v>0</v>
      </c>
      <c r="D560" s="3">
        <v>0</v>
      </c>
    </row>
    <row r="561" spans="2:4" x14ac:dyDescent="0.25">
      <c r="B561" s="3">
        <v>33420</v>
      </c>
      <c r="C561" s="22">
        <v>0</v>
      </c>
      <c r="D561" s="3">
        <v>0</v>
      </c>
    </row>
    <row r="562" spans="2:4" x14ac:dyDescent="0.25">
      <c r="B562" s="3">
        <v>33480</v>
      </c>
      <c r="C562" s="22">
        <v>0</v>
      </c>
      <c r="D562" s="3">
        <v>0</v>
      </c>
    </row>
    <row r="563" spans="2:4" x14ac:dyDescent="0.25">
      <c r="B563" s="3">
        <v>33540</v>
      </c>
      <c r="C563" s="22">
        <v>0</v>
      </c>
      <c r="D563" s="3">
        <v>0</v>
      </c>
    </row>
    <row r="564" spans="2:4" x14ac:dyDescent="0.25">
      <c r="B564" s="3">
        <v>33600</v>
      </c>
      <c r="C564" s="22">
        <v>0</v>
      </c>
      <c r="D564" s="3">
        <v>0</v>
      </c>
    </row>
    <row r="565" spans="2:4" x14ac:dyDescent="0.25">
      <c r="B565" s="3">
        <v>33660</v>
      </c>
      <c r="C565" s="22">
        <v>0</v>
      </c>
      <c r="D565" s="3">
        <v>0</v>
      </c>
    </row>
    <row r="566" spans="2:4" x14ac:dyDescent="0.25">
      <c r="B566" s="3">
        <v>33720</v>
      </c>
      <c r="C566" s="22">
        <v>0</v>
      </c>
      <c r="D566" s="3">
        <v>0</v>
      </c>
    </row>
    <row r="567" spans="2:4" x14ac:dyDescent="0.25">
      <c r="B567" s="3">
        <v>33780</v>
      </c>
      <c r="C567" s="22">
        <v>0</v>
      </c>
      <c r="D567" s="3">
        <v>0</v>
      </c>
    </row>
    <row r="568" spans="2:4" x14ac:dyDescent="0.25">
      <c r="B568" s="3">
        <v>33840</v>
      </c>
      <c r="C568" s="22">
        <v>0</v>
      </c>
      <c r="D568" s="3">
        <v>0</v>
      </c>
    </row>
    <row r="569" spans="2:4" x14ac:dyDescent="0.25">
      <c r="B569" s="3">
        <v>33900</v>
      </c>
      <c r="C569" s="22">
        <v>0</v>
      </c>
      <c r="D569" s="3">
        <v>0</v>
      </c>
    </row>
    <row r="570" spans="2:4" x14ac:dyDescent="0.25">
      <c r="B570" s="3">
        <v>33960</v>
      </c>
      <c r="C570" s="22">
        <v>0</v>
      </c>
      <c r="D570" s="3">
        <v>0</v>
      </c>
    </row>
    <row r="571" spans="2:4" x14ac:dyDescent="0.25">
      <c r="B571" s="3">
        <v>34020</v>
      </c>
      <c r="C571" s="22">
        <v>0</v>
      </c>
      <c r="D571" s="3">
        <v>0</v>
      </c>
    </row>
    <row r="572" spans="2:4" x14ac:dyDescent="0.25">
      <c r="B572" s="3">
        <v>34080</v>
      </c>
      <c r="C572" s="22">
        <v>0</v>
      </c>
      <c r="D572" s="3">
        <v>0</v>
      </c>
    </row>
    <row r="573" spans="2:4" x14ac:dyDescent="0.25">
      <c r="B573" s="3">
        <v>34140</v>
      </c>
      <c r="C573" s="22">
        <v>0</v>
      </c>
      <c r="D573" s="3">
        <v>0</v>
      </c>
    </row>
    <row r="574" spans="2:4" x14ac:dyDescent="0.25">
      <c r="B574" s="3">
        <v>34200</v>
      </c>
      <c r="C574" s="22">
        <v>0</v>
      </c>
      <c r="D574" s="3">
        <v>0</v>
      </c>
    </row>
    <row r="575" spans="2:4" x14ac:dyDescent="0.25">
      <c r="B575" s="3">
        <v>34260</v>
      </c>
      <c r="C575" s="22">
        <v>0</v>
      </c>
      <c r="D575" s="3">
        <v>0</v>
      </c>
    </row>
    <row r="576" spans="2:4" x14ac:dyDescent="0.25">
      <c r="B576" s="3">
        <v>34320</v>
      </c>
      <c r="C576" s="22">
        <v>0</v>
      </c>
      <c r="D576" s="3">
        <v>0</v>
      </c>
    </row>
    <row r="577" spans="2:4" x14ac:dyDescent="0.25">
      <c r="B577" s="3">
        <v>34380</v>
      </c>
      <c r="C577" s="22">
        <v>0</v>
      </c>
      <c r="D577" s="3">
        <v>0</v>
      </c>
    </row>
    <row r="578" spans="2:4" x14ac:dyDescent="0.25">
      <c r="B578" s="3">
        <v>34440</v>
      </c>
      <c r="C578" s="22">
        <v>0</v>
      </c>
      <c r="D578" s="3">
        <v>0</v>
      </c>
    </row>
    <row r="579" spans="2:4" x14ac:dyDescent="0.25">
      <c r="B579" s="3">
        <v>34500</v>
      </c>
      <c r="C579" s="22">
        <v>0</v>
      </c>
      <c r="D579" s="3">
        <v>0</v>
      </c>
    </row>
    <row r="580" spans="2:4" x14ac:dyDescent="0.25">
      <c r="B580" s="3">
        <v>34560</v>
      </c>
      <c r="C580" s="22">
        <v>0</v>
      </c>
      <c r="D580" s="3">
        <v>0</v>
      </c>
    </row>
    <row r="581" spans="2:4" x14ac:dyDescent="0.25">
      <c r="B581" s="3">
        <v>34620</v>
      </c>
      <c r="C581" s="22">
        <v>0</v>
      </c>
      <c r="D581" s="3">
        <v>0</v>
      </c>
    </row>
    <row r="582" spans="2:4" x14ac:dyDescent="0.25">
      <c r="B582" s="3">
        <v>34680</v>
      </c>
      <c r="C582" s="22">
        <v>0</v>
      </c>
      <c r="D582" s="3">
        <v>0</v>
      </c>
    </row>
    <row r="583" spans="2:4" x14ac:dyDescent="0.25">
      <c r="B583" s="3">
        <v>34740</v>
      </c>
      <c r="C583" s="22">
        <v>0</v>
      </c>
      <c r="D583" s="3">
        <v>0</v>
      </c>
    </row>
    <row r="584" spans="2:4" x14ac:dyDescent="0.25">
      <c r="B584" s="3">
        <v>34800</v>
      </c>
      <c r="C584" s="22">
        <v>0</v>
      </c>
      <c r="D584" s="3">
        <v>0</v>
      </c>
    </row>
    <row r="585" spans="2:4" x14ac:dyDescent="0.25">
      <c r="B585" s="3">
        <v>34860</v>
      </c>
      <c r="C585" s="22">
        <v>0</v>
      </c>
      <c r="D585" s="3">
        <v>0</v>
      </c>
    </row>
    <row r="586" spans="2:4" x14ac:dyDescent="0.25">
      <c r="B586" s="3">
        <v>34920</v>
      </c>
      <c r="C586" s="22">
        <v>0</v>
      </c>
      <c r="D586" s="3">
        <v>0</v>
      </c>
    </row>
    <row r="587" spans="2:4" x14ac:dyDescent="0.25">
      <c r="B587" s="3">
        <v>34980</v>
      </c>
      <c r="C587" s="22">
        <v>0</v>
      </c>
      <c r="D587" s="3">
        <v>0</v>
      </c>
    </row>
    <row r="588" spans="2:4" x14ac:dyDescent="0.25">
      <c r="B588" s="3">
        <v>35040</v>
      </c>
      <c r="C588" s="22">
        <v>0</v>
      </c>
      <c r="D588" s="3">
        <v>0</v>
      </c>
    </row>
    <row r="589" spans="2:4" x14ac:dyDescent="0.25">
      <c r="B589" s="3">
        <v>35100</v>
      </c>
      <c r="C589" s="22">
        <v>0</v>
      </c>
      <c r="D589" s="3">
        <v>0</v>
      </c>
    </row>
    <row r="590" spans="2:4" x14ac:dyDescent="0.25">
      <c r="B590" s="3">
        <v>35160</v>
      </c>
      <c r="C590" s="22">
        <v>0</v>
      </c>
      <c r="D590" s="3">
        <v>0</v>
      </c>
    </row>
    <row r="591" spans="2:4" x14ac:dyDescent="0.25">
      <c r="B591" s="3">
        <v>35220</v>
      </c>
      <c r="C591" s="22">
        <v>0</v>
      </c>
      <c r="D591" s="3">
        <v>0</v>
      </c>
    </row>
    <row r="592" spans="2:4" x14ac:dyDescent="0.25">
      <c r="B592" s="3">
        <v>35280</v>
      </c>
      <c r="C592" s="22">
        <v>11.517132575</v>
      </c>
      <c r="D592" s="3">
        <v>0</v>
      </c>
    </row>
    <row r="593" spans="2:4" x14ac:dyDescent="0.25">
      <c r="B593" s="3">
        <v>35340</v>
      </c>
      <c r="C593" s="22">
        <v>11.72677455</v>
      </c>
      <c r="D593" s="3">
        <v>0</v>
      </c>
    </row>
    <row r="594" spans="2:4" x14ac:dyDescent="0.25">
      <c r="B594" s="3">
        <v>35400</v>
      </c>
      <c r="C594" s="22">
        <v>11.72559364</v>
      </c>
      <c r="D594" s="3">
        <v>0</v>
      </c>
    </row>
    <row r="595" spans="2:4" x14ac:dyDescent="0.25">
      <c r="B595" s="3">
        <v>35460</v>
      </c>
      <c r="C595" s="22">
        <v>0.46727500500000002</v>
      </c>
      <c r="D595" s="3">
        <v>0</v>
      </c>
    </row>
    <row r="596" spans="2:4" x14ac:dyDescent="0.25">
      <c r="B596" s="3">
        <v>35520</v>
      </c>
      <c r="C596" s="22">
        <v>0</v>
      </c>
      <c r="D596" s="3">
        <v>0</v>
      </c>
    </row>
    <row r="597" spans="2:4" x14ac:dyDescent="0.25">
      <c r="B597" s="3">
        <v>35580</v>
      </c>
      <c r="C597" s="22">
        <v>0</v>
      </c>
      <c r="D597" s="3">
        <v>0</v>
      </c>
    </row>
    <row r="598" spans="2:4" x14ac:dyDescent="0.25">
      <c r="B598" s="3">
        <v>35640</v>
      </c>
      <c r="C598" s="22">
        <v>0</v>
      </c>
      <c r="D598" s="3">
        <v>0</v>
      </c>
    </row>
    <row r="599" spans="2:4" x14ac:dyDescent="0.25">
      <c r="B599" s="3">
        <v>35700</v>
      </c>
      <c r="C599" s="22">
        <v>0</v>
      </c>
      <c r="D599" s="3">
        <v>0</v>
      </c>
    </row>
    <row r="600" spans="2:4" x14ac:dyDescent="0.25">
      <c r="B600" s="3">
        <v>35760</v>
      </c>
      <c r="C600" s="22">
        <v>0</v>
      </c>
      <c r="D600" s="3">
        <v>0</v>
      </c>
    </row>
    <row r="601" spans="2:4" x14ac:dyDescent="0.25">
      <c r="B601" s="3">
        <v>35820</v>
      </c>
      <c r="C601" s="22">
        <v>0</v>
      </c>
      <c r="D601" s="3">
        <v>0</v>
      </c>
    </row>
    <row r="602" spans="2:4" x14ac:dyDescent="0.25">
      <c r="B602" s="3">
        <v>35880</v>
      </c>
      <c r="C602" s="22">
        <v>11.408076060000001</v>
      </c>
      <c r="D602" s="3">
        <v>0</v>
      </c>
    </row>
    <row r="603" spans="2:4" x14ac:dyDescent="0.25">
      <c r="B603" s="3">
        <v>35940</v>
      </c>
      <c r="C603" s="22">
        <v>11.76940664</v>
      </c>
      <c r="D603" s="3">
        <v>0</v>
      </c>
    </row>
    <row r="604" spans="2:4" x14ac:dyDescent="0.25">
      <c r="B604" s="3">
        <v>36000</v>
      </c>
      <c r="C604" s="22">
        <v>11.72675679</v>
      </c>
      <c r="D604" s="3">
        <v>0</v>
      </c>
    </row>
    <row r="605" spans="2:4" x14ac:dyDescent="0.25">
      <c r="B605" s="3">
        <v>36060</v>
      </c>
      <c r="C605" s="22">
        <v>0.39253878199999998</v>
      </c>
      <c r="D605" s="3">
        <v>0</v>
      </c>
    </row>
    <row r="606" spans="2:4" x14ac:dyDescent="0.25">
      <c r="B606" s="3">
        <v>36120</v>
      </c>
      <c r="C606" s="22">
        <v>0</v>
      </c>
      <c r="D606" s="3">
        <v>0</v>
      </c>
    </row>
    <row r="607" spans="2:4" x14ac:dyDescent="0.25">
      <c r="B607" s="3">
        <v>36180</v>
      </c>
      <c r="C607" s="22">
        <v>0</v>
      </c>
      <c r="D607" s="3">
        <v>0</v>
      </c>
    </row>
    <row r="608" spans="2:4" x14ac:dyDescent="0.25">
      <c r="B608" s="3">
        <v>36240</v>
      </c>
      <c r="C608" s="22">
        <v>0</v>
      </c>
      <c r="D608" s="3">
        <v>0</v>
      </c>
    </row>
    <row r="609" spans="2:4" x14ac:dyDescent="0.25">
      <c r="B609" s="3">
        <v>36300</v>
      </c>
      <c r="C609" s="22">
        <v>0</v>
      </c>
      <c r="D609" s="3">
        <v>0</v>
      </c>
    </row>
    <row r="610" spans="2:4" x14ac:dyDescent="0.25">
      <c r="B610" s="3">
        <v>36360</v>
      </c>
      <c r="C610" s="22">
        <v>0</v>
      </c>
      <c r="D610" s="3">
        <v>0</v>
      </c>
    </row>
    <row r="611" spans="2:4" x14ac:dyDescent="0.25">
      <c r="B611" s="3">
        <v>36420</v>
      </c>
      <c r="C611" s="22">
        <v>0</v>
      </c>
      <c r="D611" s="3">
        <v>0</v>
      </c>
    </row>
    <row r="612" spans="2:4" x14ac:dyDescent="0.25">
      <c r="B612" s="3">
        <v>36480</v>
      </c>
      <c r="C612" s="22">
        <v>0</v>
      </c>
      <c r="D612" s="3">
        <v>0</v>
      </c>
    </row>
    <row r="613" spans="2:4" x14ac:dyDescent="0.25">
      <c r="B613" s="3">
        <v>36540</v>
      </c>
      <c r="C613" s="22">
        <v>0</v>
      </c>
      <c r="D613" s="3">
        <v>0</v>
      </c>
    </row>
    <row r="614" spans="2:4" x14ac:dyDescent="0.25">
      <c r="B614" s="3">
        <v>36600</v>
      </c>
      <c r="C614" s="22">
        <v>0</v>
      </c>
      <c r="D614" s="3">
        <v>0</v>
      </c>
    </row>
    <row r="615" spans="2:4" x14ac:dyDescent="0.25">
      <c r="B615" s="3">
        <v>36660</v>
      </c>
      <c r="C615" s="22">
        <v>0</v>
      </c>
      <c r="D615" s="3">
        <v>0</v>
      </c>
    </row>
    <row r="616" spans="2:4" x14ac:dyDescent="0.25">
      <c r="B616" s="3">
        <v>36720</v>
      </c>
      <c r="C616" s="22">
        <v>0</v>
      </c>
      <c r="D616" s="3">
        <v>0</v>
      </c>
    </row>
    <row r="617" spans="2:4" x14ac:dyDescent="0.25">
      <c r="B617" s="3">
        <v>36780</v>
      </c>
      <c r="C617" s="22">
        <v>0</v>
      </c>
      <c r="D617" s="3">
        <v>0</v>
      </c>
    </row>
    <row r="618" spans="2:4" x14ac:dyDescent="0.25">
      <c r="B618" s="3">
        <v>36840</v>
      </c>
      <c r="C618" s="22">
        <v>0</v>
      </c>
      <c r="D618" s="3">
        <v>0</v>
      </c>
    </row>
    <row r="619" spans="2:4" x14ac:dyDescent="0.25">
      <c r="B619" s="3">
        <v>36900</v>
      </c>
      <c r="C619" s="22">
        <v>0</v>
      </c>
      <c r="D619" s="3">
        <v>0</v>
      </c>
    </row>
    <row r="620" spans="2:4" x14ac:dyDescent="0.25">
      <c r="B620" s="3">
        <v>36960</v>
      </c>
      <c r="C620" s="22">
        <v>0</v>
      </c>
      <c r="D620" s="3">
        <v>0</v>
      </c>
    </row>
    <row r="621" spans="2:4" x14ac:dyDescent="0.25">
      <c r="B621" s="3">
        <v>37020</v>
      </c>
      <c r="C621" s="22">
        <v>0</v>
      </c>
      <c r="D621" s="3">
        <v>0</v>
      </c>
    </row>
    <row r="622" spans="2:4" x14ac:dyDescent="0.25">
      <c r="B622" s="3">
        <v>37080</v>
      </c>
      <c r="C622" s="22">
        <v>0</v>
      </c>
      <c r="D622" s="3">
        <v>0</v>
      </c>
    </row>
    <row r="623" spans="2:4" x14ac:dyDescent="0.25">
      <c r="B623" s="3">
        <v>37140</v>
      </c>
      <c r="C623" s="22">
        <v>0</v>
      </c>
      <c r="D623" s="3">
        <v>0</v>
      </c>
    </row>
    <row r="624" spans="2:4" x14ac:dyDescent="0.25">
      <c r="B624" s="3">
        <v>37200</v>
      </c>
      <c r="C624" s="22">
        <v>0</v>
      </c>
      <c r="D624" s="3">
        <v>0</v>
      </c>
    </row>
    <row r="625" spans="2:4" x14ac:dyDescent="0.25">
      <c r="B625" s="3">
        <v>37260</v>
      </c>
      <c r="C625" s="22">
        <v>0</v>
      </c>
      <c r="D625" s="3">
        <v>0</v>
      </c>
    </row>
    <row r="626" spans="2:4" x14ac:dyDescent="0.25">
      <c r="B626" s="3">
        <v>37320</v>
      </c>
      <c r="C626" s="22">
        <v>0</v>
      </c>
      <c r="D626" s="3">
        <v>0</v>
      </c>
    </row>
    <row r="627" spans="2:4" x14ac:dyDescent="0.25">
      <c r="B627" s="3">
        <v>37380</v>
      </c>
      <c r="C627" s="22">
        <v>0</v>
      </c>
      <c r="D627" s="3">
        <v>0</v>
      </c>
    </row>
    <row r="628" spans="2:4" x14ac:dyDescent="0.25">
      <c r="B628" s="3">
        <v>37440</v>
      </c>
      <c r="C628" s="22">
        <v>0</v>
      </c>
      <c r="D628" s="3">
        <v>0</v>
      </c>
    </row>
    <row r="629" spans="2:4" x14ac:dyDescent="0.25">
      <c r="B629" s="3">
        <v>37500</v>
      </c>
      <c r="C629" s="22">
        <v>0</v>
      </c>
      <c r="D629" s="3">
        <v>0</v>
      </c>
    </row>
    <row r="630" spans="2:4" x14ac:dyDescent="0.25">
      <c r="B630" s="3">
        <v>37560</v>
      </c>
      <c r="C630" s="22">
        <v>0</v>
      </c>
      <c r="D630" s="3">
        <v>0</v>
      </c>
    </row>
    <row r="631" spans="2:4" x14ac:dyDescent="0.25">
      <c r="B631" s="3">
        <v>37620</v>
      </c>
      <c r="C631" s="22">
        <v>0</v>
      </c>
      <c r="D631" s="3">
        <v>0</v>
      </c>
    </row>
    <row r="632" spans="2:4" x14ac:dyDescent="0.25">
      <c r="B632" s="3">
        <v>37680</v>
      </c>
      <c r="C632" s="22">
        <v>0</v>
      </c>
      <c r="D632" s="3">
        <v>0</v>
      </c>
    </row>
    <row r="633" spans="2:4" x14ac:dyDescent="0.25">
      <c r="B633" s="3">
        <v>37740</v>
      </c>
      <c r="C633" s="22">
        <v>0</v>
      </c>
      <c r="D633" s="3">
        <v>0</v>
      </c>
    </row>
    <row r="634" spans="2:4" x14ac:dyDescent="0.25">
      <c r="B634" s="3">
        <v>37800</v>
      </c>
      <c r="C634" s="22">
        <v>0</v>
      </c>
      <c r="D634" s="3">
        <v>0</v>
      </c>
    </row>
    <row r="635" spans="2:4" x14ac:dyDescent="0.25">
      <c r="B635" s="3">
        <v>37860</v>
      </c>
      <c r="C635" s="22">
        <v>0</v>
      </c>
      <c r="D635" s="3">
        <v>0</v>
      </c>
    </row>
    <row r="636" spans="2:4" x14ac:dyDescent="0.25">
      <c r="B636" s="3">
        <v>37920</v>
      </c>
      <c r="C636" s="22">
        <v>0</v>
      </c>
      <c r="D636" s="3">
        <v>0</v>
      </c>
    </row>
    <row r="637" spans="2:4" x14ac:dyDescent="0.25">
      <c r="B637" s="3">
        <v>37980</v>
      </c>
      <c r="C637" s="22">
        <v>0</v>
      </c>
      <c r="D637" s="3">
        <v>0</v>
      </c>
    </row>
    <row r="638" spans="2:4" x14ac:dyDescent="0.25">
      <c r="B638" s="3">
        <v>38040</v>
      </c>
      <c r="C638" s="22">
        <v>0</v>
      </c>
      <c r="D638" s="3">
        <v>0</v>
      </c>
    </row>
    <row r="639" spans="2:4" x14ac:dyDescent="0.25">
      <c r="B639" s="3">
        <v>38100</v>
      </c>
      <c r="C639" s="22">
        <v>0</v>
      </c>
      <c r="D639" s="3">
        <v>0</v>
      </c>
    </row>
    <row r="640" spans="2:4" x14ac:dyDescent="0.25">
      <c r="B640" s="3">
        <v>38160</v>
      </c>
      <c r="C640" s="22">
        <v>0</v>
      </c>
      <c r="D640" s="3">
        <v>0</v>
      </c>
    </row>
    <row r="641" spans="2:4" x14ac:dyDescent="0.25">
      <c r="B641" s="3">
        <v>38220</v>
      </c>
      <c r="C641" s="22">
        <v>0</v>
      </c>
      <c r="D641" s="3">
        <v>0</v>
      </c>
    </row>
    <row r="642" spans="2:4" x14ac:dyDescent="0.25">
      <c r="B642" s="3">
        <v>38280</v>
      </c>
      <c r="C642" s="22">
        <v>0</v>
      </c>
      <c r="D642" s="3">
        <v>0</v>
      </c>
    </row>
    <row r="643" spans="2:4" x14ac:dyDescent="0.25">
      <c r="B643" s="3">
        <v>38340</v>
      </c>
      <c r="C643" s="22">
        <v>0</v>
      </c>
      <c r="D643" s="3">
        <v>0</v>
      </c>
    </row>
    <row r="644" spans="2:4" x14ac:dyDescent="0.25">
      <c r="B644" s="3">
        <v>38400</v>
      </c>
      <c r="C644" s="22">
        <v>0</v>
      </c>
      <c r="D644" s="3">
        <v>0</v>
      </c>
    </row>
    <row r="645" spans="2:4" x14ac:dyDescent="0.25">
      <c r="B645" s="3">
        <v>38460</v>
      </c>
      <c r="C645" s="22">
        <v>0</v>
      </c>
      <c r="D645" s="3">
        <v>0</v>
      </c>
    </row>
    <row r="646" spans="2:4" x14ac:dyDescent="0.25">
      <c r="B646" s="3">
        <v>38520</v>
      </c>
      <c r="C646" s="22">
        <v>0</v>
      </c>
      <c r="D646" s="3">
        <v>0</v>
      </c>
    </row>
    <row r="647" spans="2:4" x14ac:dyDescent="0.25">
      <c r="B647" s="3">
        <v>38580</v>
      </c>
      <c r="C647" s="22">
        <v>0</v>
      </c>
      <c r="D647" s="3">
        <v>0</v>
      </c>
    </row>
    <row r="648" spans="2:4" x14ac:dyDescent="0.25">
      <c r="B648" s="3">
        <v>38640</v>
      </c>
      <c r="C648" s="22">
        <v>0</v>
      </c>
      <c r="D648" s="3">
        <v>0</v>
      </c>
    </row>
    <row r="649" spans="2:4" x14ac:dyDescent="0.25">
      <c r="B649" s="3">
        <v>38700</v>
      </c>
      <c r="C649" s="22">
        <v>0</v>
      </c>
      <c r="D649" s="3">
        <v>0</v>
      </c>
    </row>
    <row r="650" spans="2:4" x14ac:dyDescent="0.25">
      <c r="B650" s="3">
        <v>38760</v>
      </c>
      <c r="C650" s="22">
        <v>0</v>
      </c>
      <c r="D650" s="3">
        <v>0</v>
      </c>
    </row>
    <row r="651" spans="2:4" x14ac:dyDescent="0.25">
      <c r="B651" s="3">
        <v>38820</v>
      </c>
      <c r="C651" s="22">
        <v>0</v>
      </c>
      <c r="D651" s="3">
        <v>0</v>
      </c>
    </row>
    <row r="652" spans="2:4" x14ac:dyDescent="0.25">
      <c r="C652" s="22"/>
    </row>
    <row r="653" spans="2:4" x14ac:dyDescent="0.25">
      <c r="C653" s="22"/>
    </row>
    <row r="654" spans="2:4" x14ac:dyDescent="0.25">
      <c r="C654" s="22"/>
    </row>
    <row r="655" spans="2:4" x14ac:dyDescent="0.25">
      <c r="C655" s="22"/>
    </row>
    <row r="656" spans="2:4" x14ac:dyDescent="0.25">
      <c r="C656" s="22"/>
    </row>
    <row r="657" spans="3:3" x14ac:dyDescent="0.25">
      <c r="C657" s="22"/>
    </row>
    <row r="658" spans="3:3" x14ac:dyDescent="0.25">
      <c r="C658" s="22"/>
    </row>
    <row r="659" spans="3:3" x14ac:dyDescent="0.25">
      <c r="C659" s="22"/>
    </row>
    <row r="660" spans="3:3" x14ac:dyDescent="0.25">
      <c r="C660" s="22"/>
    </row>
    <row r="661" spans="3:3" x14ac:dyDescent="0.25">
      <c r="C661" s="22"/>
    </row>
    <row r="662" spans="3:3" x14ac:dyDescent="0.25">
      <c r="C662" s="22"/>
    </row>
    <row r="663" spans="3:3" x14ac:dyDescent="0.25">
      <c r="C663" s="22"/>
    </row>
    <row r="664" spans="3:3" x14ac:dyDescent="0.25">
      <c r="C664" s="22"/>
    </row>
    <row r="665" spans="3:3" x14ac:dyDescent="0.25">
      <c r="C665" s="22"/>
    </row>
    <row r="666" spans="3:3" x14ac:dyDescent="0.25">
      <c r="C666" s="22"/>
    </row>
    <row r="667" spans="3:3" x14ac:dyDescent="0.25">
      <c r="C667" s="22"/>
    </row>
    <row r="668" spans="3:3" x14ac:dyDescent="0.25">
      <c r="C668" s="22"/>
    </row>
    <row r="669" spans="3:3" x14ac:dyDescent="0.25">
      <c r="C669" s="22"/>
    </row>
    <row r="670" spans="3:3" x14ac:dyDescent="0.25">
      <c r="C670" s="22"/>
    </row>
    <row r="671" spans="3:3" x14ac:dyDescent="0.25">
      <c r="C671" s="22"/>
    </row>
    <row r="672" spans="3:3" x14ac:dyDescent="0.25">
      <c r="C672" s="22"/>
    </row>
    <row r="673" spans="3:3" x14ac:dyDescent="0.25">
      <c r="C673" s="22"/>
    </row>
    <row r="674" spans="3:3" x14ac:dyDescent="0.25">
      <c r="C674" s="22"/>
    </row>
    <row r="675" spans="3:3" x14ac:dyDescent="0.25">
      <c r="C675" s="22"/>
    </row>
    <row r="676" spans="3:3" x14ac:dyDescent="0.25">
      <c r="C676" s="22"/>
    </row>
    <row r="677" spans="3:3" x14ac:dyDescent="0.25">
      <c r="C677" s="22"/>
    </row>
    <row r="678" spans="3:3" x14ac:dyDescent="0.25">
      <c r="C678" s="22"/>
    </row>
    <row r="679" spans="3:3" x14ac:dyDescent="0.25">
      <c r="C679" s="22"/>
    </row>
    <row r="680" spans="3:3" x14ac:dyDescent="0.25">
      <c r="C680" s="22"/>
    </row>
    <row r="681" spans="3:3" x14ac:dyDescent="0.25">
      <c r="C681" s="22"/>
    </row>
    <row r="682" spans="3:3" x14ac:dyDescent="0.25">
      <c r="C682" s="22"/>
    </row>
    <row r="683" spans="3:3" x14ac:dyDescent="0.25">
      <c r="C683" s="22"/>
    </row>
    <row r="684" spans="3:3" x14ac:dyDescent="0.25">
      <c r="C684" s="22"/>
    </row>
    <row r="685" spans="3:3" x14ac:dyDescent="0.25">
      <c r="C685" s="22"/>
    </row>
    <row r="686" spans="3:3" x14ac:dyDescent="0.25">
      <c r="C686" s="22"/>
    </row>
    <row r="687" spans="3:3" x14ac:dyDescent="0.25">
      <c r="C687" s="22"/>
    </row>
    <row r="688" spans="3:3" x14ac:dyDescent="0.25">
      <c r="C688" s="22"/>
    </row>
    <row r="689" spans="3:3" x14ac:dyDescent="0.25">
      <c r="C689" s="22"/>
    </row>
    <row r="690" spans="3:3" x14ac:dyDescent="0.25">
      <c r="C690" s="22"/>
    </row>
    <row r="691" spans="3:3" x14ac:dyDescent="0.25">
      <c r="C691" s="22"/>
    </row>
    <row r="692" spans="3:3" x14ac:dyDescent="0.25">
      <c r="C692" s="22"/>
    </row>
    <row r="693" spans="3:3" x14ac:dyDescent="0.25">
      <c r="C693" s="22"/>
    </row>
    <row r="694" spans="3:3" x14ac:dyDescent="0.25">
      <c r="C694" s="22"/>
    </row>
    <row r="695" spans="3:3" x14ac:dyDescent="0.25">
      <c r="C695" s="22"/>
    </row>
    <row r="696" spans="3:3" x14ac:dyDescent="0.25">
      <c r="C696" s="22"/>
    </row>
    <row r="697" spans="3:3" x14ac:dyDescent="0.25">
      <c r="C697" s="22"/>
    </row>
    <row r="698" spans="3:3" x14ac:dyDescent="0.25">
      <c r="C698" s="22"/>
    </row>
    <row r="699" spans="3:3" x14ac:dyDescent="0.25">
      <c r="C699" s="22"/>
    </row>
    <row r="700" spans="3:3" x14ac:dyDescent="0.25">
      <c r="C700" s="22"/>
    </row>
    <row r="701" spans="3:3" x14ac:dyDescent="0.25">
      <c r="C701" s="22"/>
    </row>
    <row r="702" spans="3:3" x14ac:dyDescent="0.25">
      <c r="C702" s="22"/>
    </row>
    <row r="703" spans="3:3" x14ac:dyDescent="0.25">
      <c r="C703" s="22"/>
    </row>
    <row r="704" spans="3:3" x14ac:dyDescent="0.25">
      <c r="C704" s="22"/>
    </row>
    <row r="705" spans="3:3" x14ac:dyDescent="0.25">
      <c r="C705" s="22"/>
    </row>
    <row r="706" spans="3:3" x14ac:dyDescent="0.25">
      <c r="C706" s="22"/>
    </row>
    <row r="707" spans="3:3" x14ac:dyDescent="0.25">
      <c r="C707" s="22"/>
    </row>
    <row r="708" spans="3:3" x14ac:dyDescent="0.25">
      <c r="C708" s="22"/>
    </row>
    <row r="709" spans="3:3" x14ac:dyDescent="0.25">
      <c r="C709" s="22"/>
    </row>
    <row r="710" spans="3:3" x14ac:dyDescent="0.25">
      <c r="C710" s="22"/>
    </row>
    <row r="711" spans="3:3" x14ac:dyDescent="0.25">
      <c r="C711" s="22"/>
    </row>
    <row r="712" spans="3:3" x14ac:dyDescent="0.25">
      <c r="C712" s="22"/>
    </row>
    <row r="713" spans="3:3" x14ac:dyDescent="0.25">
      <c r="C713" s="22"/>
    </row>
    <row r="714" spans="3:3" x14ac:dyDescent="0.25">
      <c r="C714" s="22"/>
    </row>
    <row r="715" spans="3:3" x14ac:dyDescent="0.25">
      <c r="C715" s="22"/>
    </row>
    <row r="716" spans="3:3" x14ac:dyDescent="0.25">
      <c r="C716" s="22"/>
    </row>
    <row r="717" spans="3:3" x14ac:dyDescent="0.25">
      <c r="C717" s="22"/>
    </row>
    <row r="718" spans="3:3" x14ac:dyDescent="0.25">
      <c r="C718" s="22"/>
    </row>
    <row r="719" spans="3:3" x14ac:dyDescent="0.25">
      <c r="C719" s="22"/>
    </row>
    <row r="720" spans="3:3" x14ac:dyDescent="0.25">
      <c r="C720" s="22"/>
    </row>
    <row r="721" spans="3:3" x14ac:dyDescent="0.25">
      <c r="C721" s="22"/>
    </row>
    <row r="722" spans="3:3" x14ac:dyDescent="0.25">
      <c r="C722" s="22"/>
    </row>
    <row r="723" spans="3:3" x14ac:dyDescent="0.25">
      <c r="C723" s="22"/>
    </row>
    <row r="724" spans="3:3" x14ac:dyDescent="0.25">
      <c r="C724" s="22"/>
    </row>
    <row r="725" spans="3:3" x14ac:dyDescent="0.25">
      <c r="C725" s="22"/>
    </row>
    <row r="726" spans="3:3" x14ac:dyDescent="0.25">
      <c r="C726" s="22"/>
    </row>
    <row r="727" spans="3:3" x14ac:dyDescent="0.25">
      <c r="C727" s="22"/>
    </row>
    <row r="728" spans="3:3" x14ac:dyDescent="0.25">
      <c r="C728" s="22"/>
    </row>
    <row r="729" spans="3:3" x14ac:dyDescent="0.25">
      <c r="C729" s="22"/>
    </row>
    <row r="730" spans="3:3" x14ac:dyDescent="0.25">
      <c r="C730" s="22"/>
    </row>
    <row r="731" spans="3:3" x14ac:dyDescent="0.25">
      <c r="C731" s="22"/>
    </row>
    <row r="732" spans="3:3" x14ac:dyDescent="0.25">
      <c r="C732" s="22"/>
    </row>
    <row r="733" spans="3:3" x14ac:dyDescent="0.25">
      <c r="C733" s="22"/>
    </row>
    <row r="734" spans="3:3" x14ac:dyDescent="0.25">
      <c r="C734" s="22"/>
    </row>
    <row r="735" spans="3:3" x14ac:dyDescent="0.25">
      <c r="C735" s="22"/>
    </row>
    <row r="736" spans="3:3" x14ac:dyDescent="0.25">
      <c r="C736" s="22"/>
    </row>
    <row r="737" spans="3:3" x14ac:dyDescent="0.25">
      <c r="C737" s="22"/>
    </row>
    <row r="738" spans="3:3" x14ac:dyDescent="0.25">
      <c r="C738" s="22"/>
    </row>
    <row r="739" spans="3:3" x14ac:dyDescent="0.25">
      <c r="C739" s="22"/>
    </row>
    <row r="740" spans="3:3" x14ac:dyDescent="0.25">
      <c r="C740" s="22"/>
    </row>
    <row r="741" spans="3:3" x14ac:dyDescent="0.25">
      <c r="C741" s="22"/>
    </row>
    <row r="742" spans="3:3" x14ac:dyDescent="0.25">
      <c r="C742" s="22"/>
    </row>
    <row r="743" spans="3:3" x14ac:dyDescent="0.25">
      <c r="C743" s="22"/>
    </row>
    <row r="744" spans="3:3" x14ac:dyDescent="0.25">
      <c r="C744" s="22"/>
    </row>
    <row r="745" spans="3:3" x14ac:dyDescent="0.25">
      <c r="C745" s="22"/>
    </row>
    <row r="746" spans="3:3" x14ac:dyDescent="0.25">
      <c r="C746" s="22"/>
    </row>
    <row r="747" spans="3:3" x14ac:dyDescent="0.25">
      <c r="C747" s="22"/>
    </row>
    <row r="748" spans="3:3" x14ac:dyDescent="0.25">
      <c r="C748" s="22"/>
    </row>
    <row r="749" spans="3:3" x14ac:dyDescent="0.25">
      <c r="C749" s="22"/>
    </row>
    <row r="750" spans="3:3" x14ac:dyDescent="0.25">
      <c r="C750" s="22"/>
    </row>
    <row r="751" spans="3:3" x14ac:dyDescent="0.25">
      <c r="C751" s="22"/>
    </row>
    <row r="752" spans="3:3" x14ac:dyDescent="0.25">
      <c r="C752" s="22"/>
    </row>
    <row r="753" spans="3:3" x14ac:dyDescent="0.25">
      <c r="C753" s="22"/>
    </row>
    <row r="754" spans="3:3" x14ac:dyDescent="0.25">
      <c r="C754" s="22"/>
    </row>
    <row r="755" spans="3:3" x14ac:dyDescent="0.25">
      <c r="C755" s="22"/>
    </row>
    <row r="756" spans="3:3" x14ac:dyDescent="0.25">
      <c r="C756" s="22"/>
    </row>
    <row r="757" spans="3:3" x14ac:dyDescent="0.25">
      <c r="C757" s="22"/>
    </row>
    <row r="758" spans="3:3" x14ac:dyDescent="0.25">
      <c r="C758" s="22"/>
    </row>
    <row r="759" spans="3:3" x14ac:dyDescent="0.25">
      <c r="C759" s="22"/>
    </row>
    <row r="760" spans="3:3" x14ac:dyDescent="0.25">
      <c r="C760" s="22"/>
    </row>
    <row r="761" spans="3:3" x14ac:dyDescent="0.25">
      <c r="C761" s="22"/>
    </row>
    <row r="762" spans="3:3" x14ac:dyDescent="0.25">
      <c r="C762" s="22"/>
    </row>
    <row r="763" spans="3:3" x14ac:dyDescent="0.25">
      <c r="C763" s="22"/>
    </row>
    <row r="764" spans="3:3" x14ac:dyDescent="0.25">
      <c r="C764" s="22"/>
    </row>
    <row r="765" spans="3:3" x14ac:dyDescent="0.25">
      <c r="C765" s="22"/>
    </row>
    <row r="766" spans="3:3" x14ac:dyDescent="0.25">
      <c r="C766" s="22"/>
    </row>
    <row r="767" spans="3:3" x14ac:dyDescent="0.25">
      <c r="C767" s="22"/>
    </row>
    <row r="768" spans="3:3" x14ac:dyDescent="0.25">
      <c r="C768" s="22"/>
    </row>
    <row r="769" spans="3:3" x14ac:dyDescent="0.25">
      <c r="C769" s="22"/>
    </row>
    <row r="770" spans="3:3" x14ac:dyDescent="0.25">
      <c r="C770" s="22"/>
    </row>
    <row r="771" spans="3:3" x14ac:dyDescent="0.25">
      <c r="C771" s="22"/>
    </row>
    <row r="772" spans="3:3" x14ac:dyDescent="0.25">
      <c r="C772" s="22"/>
    </row>
    <row r="773" spans="3:3" x14ac:dyDescent="0.25">
      <c r="C773" s="22"/>
    </row>
    <row r="774" spans="3:3" x14ac:dyDescent="0.25">
      <c r="C774" s="22"/>
    </row>
    <row r="775" spans="3:3" x14ac:dyDescent="0.25">
      <c r="C775" s="22"/>
    </row>
    <row r="776" spans="3:3" x14ac:dyDescent="0.25">
      <c r="C776" s="22"/>
    </row>
    <row r="777" spans="3:3" x14ac:dyDescent="0.25">
      <c r="C777" s="22"/>
    </row>
    <row r="778" spans="3:3" x14ac:dyDescent="0.25">
      <c r="C778" s="22"/>
    </row>
    <row r="779" spans="3:3" x14ac:dyDescent="0.25">
      <c r="C779" s="22"/>
    </row>
    <row r="780" spans="3:3" x14ac:dyDescent="0.25">
      <c r="C780" s="22"/>
    </row>
    <row r="781" spans="3:3" x14ac:dyDescent="0.25">
      <c r="C781" s="22"/>
    </row>
    <row r="782" spans="3:3" x14ac:dyDescent="0.25">
      <c r="C782" s="22"/>
    </row>
    <row r="783" spans="3:3" x14ac:dyDescent="0.25">
      <c r="C783" s="22"/>
    </row>
    <row r="784" spans="3:3" x14ac:dyDescent="0.25">
      <c r="C784" s="22"/>
    </row>
    <row r="785" spans="3:3" x14ac:dyDescent="0.25">
      <c r="C785" s="22"/>
    </row>
    <row r="786" spans="3:3" x14ac:dyDescent="0.25">
      <c r="C786" s="22"/>
    </row>
    <row r="787" spans="3:3" x14ac:dyDescent="0.25">
      <c r="C787" s="22"/>
    </row>
    <row r="788" spans="3:3" x14ac:dyDescent="0.25">
      <c r="C788" s="22"/>
    </row>
    <row r="789" spans="3:3" x14ac:dyDescent="0.25">
      <c r="C789" s="22"/>
    </row>
    <row r="790" spans="3:3" x14ac:dyDescent="0.25">
      <c r="C790" s="22"/>
    </row>
    <row r="791" spans="3:3" x14ac:dyDescent="0.25">
      <c r="C791" s="22"/>
    </row>
    <row r="792" spans="3:3" x14ac:dyDescent="0.25">
      <c r="C792" s="22"/>
    </row>
    <row r="793" spans="3:3" x14ac:dyDescent="0.25">
      <c r="C793" s="22"/>
    </row>
    <row r="794" spans="3:3" x14ac:dyDescent="0.25">
      <c r="C794" s="22"/>
    </row>
    <row r="795" spans="3:3" x14ac:dyDescent="0.25">
      <c r="C795" s="22"/>
    </row>
    <row r="796" spans="3:3" x14ac:dyDescent="0.25">
      <c r="C796" s="22"/>
    </row>
    <row r="797" spans="3:3" x14ac:dyDescent="0.25">
      <c r="C797" s="22"/>
    </row>
    <row r="798" spans="3:3" x14ac:dyDescent="0.25">
      <c r="C798" s="22"/>
    </row>
    <row r="799" spans="3:3" x14ac:dyDescent="0.25">
      <c r="C799" s="22"/>
    </row>
    <row r="800" spans="3:3" x14ac:dyDescent="0.25">
      <c r="C800" s="22"/>
    </row>
    <row r="801" spans="3:3" x14ac:dyDescent="0.25">
      <c r="C801" s="22"/>
    </row>
    <row r="802" spans="3:3" x14ac:dyDescent="0.25">
      <c r="C802" s="22"/>
    </row>
    <row r="803" spans="3:3" x14ac:dyDescent="0.25">
      <c r="C803" s="22"/>
    </row>
    <row r="804" spans="3:3" x14ac:dyDescent="0.25">
      <c r="C804" s="22"/>
    </row>
    <row r="805" spans="3:3" x14ac:dyDescent="0.25">
      <c r="C805" s="22"/>
    </row>
    <row r="806" spans="3:3" x14ac:dyDescent="0.25">
      <c r="C806" s="22"/>
    </row>
    <row r="807" spans="3:3" x14ac:dyDescent="0.25">
      <c r="C807" s="22"/>
    </row>
    <row r="808" spans="3:3" x14ac:dyDescent="0.25">
      <c r="C808" s="22"/>
    </row>
    <row r="809" spans="3:3" x14ac:dyDescent="0.25">
      <c r="C809" s="22"/>
    </row>
    <row r="810" spans="3:3" x14ac:dyDescent="0.25">
      <c r="C810" s="22"/>
    </row>
    <row r="811" spans="3:3" x14ac:dyDescent="0.25">
      <c r="C811" s="22"/>
    </row>
    <row r="812" spans="3:3" x14ac:dyDescent="0.25">
      <c r="C812" s="22"/>
    </row>
    <row r="813" spans="3:3" x14ac:dyDescent="0.25">
      <c r="C813" s="22"/>
    </row>
    <row r="814" spans="3:3" x14ac:dyDescent="0.25">
      <c r="C814" s="22"/>
    </row>
    <row r="815" spans="3:3" x14ac:dyDescent="0.25">
      <c r="C815" s="22"/>
    </row>
    <row r="816" spans="3:3" x14ac:dyDescent="0.25">
      <c r="C816" s="22"/>
    </row>
    <row r="817" spans="3:3" x14ac:dyDescent="0.25">
      <c r="C817" s="22"/>
    </row>
    <row r="818" spans="3:3" x14ac:dyDescent="0.25">
      <c r="C818" s="22"/>
    </row>
    <row r="819" spans="3:3" x14ac:dyDescent="0.25">
      <c r="C819" s="22"/>
    </row>
    <row r="820" spans="3:3" x14ac:dyDescent="0.25">
      <c r="C820" s="22"/>
    </row>
    <row r="821" spans="3:3" x14ac:dyDescent="0.25">
      <c r="C821" s="22"/>
    </row>
    <row r="822" spans="3:3" x14ac:dyDescent="0.25">
      <c r="C822" s="22"/>
    </row>
    <row r="823" spans="3:3" x14ac:dyDescent="0.25">
      <c r="C823" s="22"/>
    </row>
    <row r="824" spans="3:3" x14ac:dyDescent="0.25">
      <c r="C824" s="22"/>
    </row>
    <row r="825" spans="3:3" x14ac:dyDescent="0.25">
      <c r="C825" s="22"/>
    </row>
    <row r="826" spans="3:3" x14ac:dyDescent="0.25">
      <c r="C826" s="22"/>
    </row>
    <row r="827" spans="3:3" x14ac:dyDescent="0.25">
      <c r="C827" s="22"/>
    </row>
    <row r="828" spans="3:3" x14ac:dyDescent="0.25">
      <c r="C828" s="22"/>
    </row>
    <row r="829" spans="3:3" x14ac:dyDescent="0.25">
      <c r="C829" s="22"/>
    </row>
    <row r="830" spans="3:3" x14ac:dyDescent="0.25">
      <c r="C830" s="22"/>
    </row>
    <row r="831" spans="3:3" x14ac:dyDescent="0.25">
      <c r="C831" s="22"/>
    </row>
    <row r="832" spans="3:3" x14ac:dyDescent="0.25">
      <c r="C832" s="22"/>
    </row>
    <row r="833" spans="3:3" x14ac:dyDescent="0.25">
      <c r="C833" s="22"/>
    </row>
    <row r="834" spans="3:3" x14ac:dyDescent="0.25">
      <c r="C834" s="22"/>
    </row>
    <row r="835" spans="3:3" x14ac:dyDescent="0.25">
      <c r="C835" s="22"/>
    </row>
    <row r="836" spans="3:3" x14ac:dyDescent="0.25">
      <c r="C836" s="22"/>
    </row>
    <row r="837" spans="3:3" x14ac:dyDescent="0.25">
      <c r="C837" s="22"/>
    </row>
    <row r="838" spans="3:3" x14ac:dyDescent="0.25">
      <c r="C838" s="22"/>
    </row>
    <row r="839" spans="3:3" x14ac:dyDescent="0.25">
      <c r="C839" s="22"/>
    </row>
    <row r="840" spans="3:3" x14ac:dyDescent="0.25">
      <c r="C840" s="22"/>
    </row>
    <row r="841" spans="3:3" x14ac:dyDescent="0.25">
      <c r="C841" s="22"/>
    </row>
    <row r="842" spans="3:3" x14ac:dyDescent="0.25">
      <c r="C842" s="22"/>
    </row>
    <row r="843" spans="3:3" x14ac:dyDescent="0.25">
      <c r="C843" s="22"/>
    </row>
    <row r="844" spans="3:3" x14ac:dyDescent="0.25">
      <c r="C844" s="22"/>
    </row>
    <row r="845" spans="3:3" x14ac:dyDescent="0.25">
      <c r="C845" s="22"/>
    </row>
    <row r="846" spans="3:3" x14ac:dyDescent="0.25">
      <c r="C846" s="22"/>
    </row>
    <row r="847" spans="3:3" x14ac:dyDescent="0.25">
      <c r="C847" s="22"/>
    </row>
    <row r="848" spans="3:3" x14ac:dyDescent="0.25">
      <c r="C848" s="22"/>
    </row>
    <row r="849" spans="3:3" x14ac:dyDescent="0.25">
      <c r="C849" s="22"/>
    </row>
    <row r="850" spans="3:3" x14ac:dyDescent="0.25">
      <c r="C850" s="22"/>
    </row>
    <row r="851" spans="3:3" x14ac:dyDescent="0.25">
      <c r="C851" s="22"/>
    </row>
    <row r="852" spans="3:3" x14ac:dyDescent="0.25">
      <c r="C852" s="22"/>
    </row>
    <row r="853" spans="3:3" x14ac:dyDescent="0.25">
      <c r="C853" s="22"/>
    </row>
    <row r="854" spans="3:3" x14ac:dyDescent="0.25">
      <c r="C854" s="22"/>
    </row>
    <row r="855" spans="3:3" x14ac:dyDescent="0.25">
      <c r="C855" s="22"/>
    </row>
    <row r="856" spans="3:3" x14ac:dyDescent="0.25">
      <c r="C856" s="22"/>
    </row>
    <row r="857" spans="3:3" x14ac:dyDescent="0.25">
      <c r="C857" s="22"/>
    </row>
    <row r="858" spans="3:3" x14ac:dyDescent="0.25">
      <c r="C858" s="22"/>
    </row>
    <row r="859" spans="3:3" x14ac:dyDescent="0.25">
      <c r="C859" s="22"/>
    </row>
    <row r="860" spans="3:3" x14ac:dyDescent="0.25">
      <c r="C860" s="22"/>
    </row>
    <row r="861" spans="3:3" x14ac:dyDescent="0.25">
      <c r="C861" s="22"/>
    </row>
    <row r="862" spans="3:3" x14ac:dyDescent="0.25">
      <c r="C862" s="22"/>
    </row>
    <row r="863" spans="3:3" x14ac:dyDescent="0.25">
      <c r="C863" s="22"/>
    </row>
    <row r="864" spans="3:3" x14ac:dyDescent="0.25">
      <c r="C864" s="22"/>
    </row>
    <row r="865" spans="3:3" x14ac:dyDescent="0.25">
      <c r="C865" s="22"/>
    </row>
    <row r="866" spans="3:3" x14ac:dyDescent="0.25">
      <c r="C866" s="22"/>
    </row>
    <row r="867" spans="3:3" x14ac:dyDescent="0.25">
      <c r="C867" s="22"/>
    </row>
    <row r="868" spans="3:3" x14ac:dyDescent="0.25">
      <c r="C868" s="22"/>
    </row>
    <row r="869" spans="3:3" x14ac:dyDescent="0.25">
      <c r="C869" s="22"/>
    </row>
    <row r="870" spans="3:3" x14ac:dyDescent="0.25">
      <c r="C870" s="22"/>
    </row>
    <row r="871" spans="3:3" x14ac:dyDescent="0.25">
      <c r="C871" s="22"/>
    </row>
    <row r="872" spans="3:3" x14ac:dyDescent="0.25">
      <c r="C872" s="22"/>
    </row>
    <row r="873" spans="3:3" x14ac:dyDescent="0.25">
      <c r="C873" s="22"/>
    </row>
    <row r="874" spans="3:3" x14ac:dyDescent="0.25">
      <c r="C874" s="22"/>
    </row>
    <row r="875" spans="3:3" x14ac:dyDescent="0.25">
      <c r="C875" s="22"/>
    </row>
    <row r="876" spans="3:3" x14ac:dyDescent="0.25">
      <c r="C876" s="22"/>
    </row>
    <row r="877" spans="3:3" x14ac:dyDescent="0.25">
      <c r="C877" s="22"/>
    </row>
    <row r="878" spans="3:3" x14ac:dyDescent="0.25">
      <c r="C878" s="22"/>
    </row>
    <row r="879" spans="3:3" x14ac:dyDescent="0.25">
      <c r="C879" s="22"/>
    </row>
    <row r="880" spans="3:3" x14ac:dyDescent="0.25">
      <c r="C880" s="22"/>
    </row>
    <row r="881" spans="3:3" x14ac:dyDescent="0.25">
      <c r="C881" s="22"/>
    </row>
    <row r="882" spans="3:3" x14ac:dyDescent="0.25">
      <c r="C882" s="22"/>
    </row>
    <row r="883" spans="3:3" x14ac:dyDescent="0.25">
      <c r="C883" s="22"/>
    </row>
    <row r="884" spans="3:3" x14ac:dyDescent="0.25">
      <c r="C884" s="22"/>
    </row>
    <row r="885" spans="3:3" x14ac:dyDescent="0.25">
      <c r="C885" s="22"/>
    </row>
    <row r="886" spans="3:3" x14ac:dyDescent="0.25">
      <c r="C886" s="22"/>
    </row>
    <row r="887" spans="3:3" x14ac:dyDescent="0.25">
      <c r="C887" s="22"/>
    </row>
    <row r="888" spans="3:3" x14ac:dyDescent="0.25">
      <c r="C888" s="22"/>
    </row>
    <row r="889" spans="3:3" x14ac:dyDescent="0.25">
      <c r="C889" s="22"/>
    </row>
    <row r="890" spans="3:3" x14ac:dyDescent="0.25">
      <c r="C890" s="22"/>
    </row>
    <row r="891" spans="3:3" x14ac:dyDescent="0.25">
      <c r="C891" s="22"/>
    </row>
    <row r="892" spans="3:3" x14ac:dyDescent="0.25">
      <c r="C892" s="22"/>
    </row>
    <row r="893" spans="3:3" x14ac:dyDescent="0.25">
      <c r="C893" s="22"/>
    </row>
    <row r="894" spans="3:3" x14ac:dyDescent="0.25">
      <c r="C894" s="22"/>
    </row>
    <row r="895" spans="3:3" x14ac:dyDescent="0.25">
      <c r="C895" s="22"/>
    </row>
    <row r="896" spans="3:3" x14ac:dyDescent="0.25">
      <c r="C896" s="22"/>
    </row>
    <row r="897" spans="3:3" x14ac:dyDescent="0.25">
      <c r="C897" s="22"/>
    </row>
    <row r="898" spans="3:3" x14ac:dyDescent="0.25">
      <c r="C898" s="22"/>
    </row>
    <row r="899" spans="3:3" x14ac:dyDescent="0.25">
      <c r="C899" s="22"/>
    </row>
    <row r="900" spans="3:3" x14ac:dyDescent="0.25">
      <c r="C900" s="22"/>
    </row>
    <row r="901" spans="3:3" x14ac:dyDescent="0.25">
      <c r="C901" s="22"/>
    </row>
    <row r="902" spans="3:3" x14ac:dyDescent="0.25">
      <c r="C902" s="22"/>
    </row>
    <row r="903" spans="3:3" x14ac:dyDescent="0.25">
      <c r="C903" s="22"/>
    </row>
    <row r="904" spans="3:3" x14ac:dyDescent="0.25">
      <c r="C904" s="22"/>
    </row>
    <row r="905" spans="3:3" x14ac:dyDescent="0.25">
      <c r="C905" s="22"/>
    </row>
    <row r="906" spans="3:3" x14ac:dyDescent="0.25">
      <c r="C906" s="22"/>
    </row>
    <row r="907" spans="3:3" x14ac:dyDescent="0.25">
      <c r="C907" s="22"/>
    </row>
    <row r="908" spans="3:3" x14ac:dyDescent="0.25">
      <c r="C908" s="22"/>
    </row>
    <row r="909" spans="3:3" x14ac:dyDescent="0.25">
      <c r="C909" s="22"/>
    </row>
    <row r="910" spans="3:3" x14ac:dyDescent="0.25">
      <c r="C910" s="22"/>
    </row>
    <row r="911" spans="3:3" x14ac:dyDescent="0.25">
      <c r="C911" s="22"/>
    </row>
    <row r="912" spans="3:3" x14ac:dyDescent="0.25">
      <c r="C912" s="22"/>
    </row>
    <row r="913" spans="3:3" x14ac:dyDescent="0.25">
      <c r="C913" s="22"/>
    </row>
    <row r="914" spans="3:3" x14ac:dyDescent="0.25">
      <c r="C914" s="22"/>
    </row>
    <row r="915" spans="3:3" x14ac:dyDescent="0.25">
      <c r="C915" s="22"/>
    </row>
    <row r="916" spans="3:3" x14ac:dyDescent="0.25">
      <c r="C916" s="22"/>
    </row>
    <row r="917" spans="3:3" x14ac:dyDescent="0.25">
      <c r="C917" s="22"/>
    </row>
    <row r="918" spans="3:3" x14ac:dyDescent="0.25">
      <c r="C918" s="22"/>
    </row>
    <row r="919" spans="3:3" x14ac:dyDescent="0.25">
      <c r="C919" s="22"/>
    </row>
    <row r="920" spans="3:3" x14ac:dyDescent="0.25">
      <c r="C920" s="22"/>
    </row>
    <row r="921" spans="3:3" x14ac:dyDescent="0.25">
      <c r="C921" s="22"/>
    </row>
    <row r="922" spans="3:3" x14ac:dyDescent="0.25">
      <c r="C922" s="22"/>
    </row>
    <row r="923" spans="3:3" x14ac:dyDescent="0.25">
      <c r="C923" s="22"/>
    </row>
    <row r="924" spans="3:3" x14ac:dyDescent="0.25">
      <c r="C924" s="22"/>
    </row>
    <row r="925" spans="3:3" x14ac:dyDescent="0.25">
      <c r="C925" s="22"/>
    </row>
    <row r="926" spans="3:3" x14ac:dyDescent="0.25">
      <c r="C926" s="22"/>
    </row>
    <row r="927" spans="3:3" x14ac:dyDescent="0.25">
      <c r="C927" s="22"/>
    </row>
    <row r="928" spans="3:3" x14ac:dyDescent="0.25">
      <c r="C928" s="22"/>
    </row>
    <row r="929" spans="3:3" x14ac:dyDescent="0.25">
      <c r="C929" s="22"/>
    </row>
    <row r="930" spans="3:3" x14ac:dyDescent="0.25">
      <c r="C930" s="22"/>
    </row>
    <row r="931" spans="3:3" x14ac:dyDescent="0.25">
      <c r="C931" s="22"/>
    </row>
    <row r="932" spans="3:3" x14ac:dyDescent="0.25">
      <c r="C932" s="22"/>
    </row>
    <row r="933" spans="3:3" x14ac:dyDescent="0.25">
      <c r="C933" s="22"/>
    </row>
    <row r="934" spans="3:3" x14ac:dyDescent="0.25">
      <c r="C934" s="22"/>
    </row>
    <row r="935" spans="3:3" x14ac:dyDescent="0.25">
      <c r="C935" s="22"/>
    </row>
    <row r="936" spans="3:3" x14ac:dyDescent="0.25">
      <c r="C936" s="22"/>
    </row>
    <row r="937" spans="3:3" x14ac:dyDescent="0.25">
      <c r="C937" s="22"/>
    </row>
    <row r="938" spans="3:3" x14ac:dyDescent="0.25">
      <c r="C938" s="22"/>
    </row>
    <row r="939" spans="3:3" x14ac:dyDescent="0.25">
      <c r="C939" s="22"/>
    </row>
    <row r="940" spans="3:3" x14ac:dyDescent="0.25">
      <c r="C940" s="22"/>
    </row>
    <row r="941" spans="3:3" x14ac:dyDescent="0.25">
      <c r="C941" s="22"/>
    </row>
    <row r="942" spans="3:3" x14ac:dyDescent="0.25">
      <c r="C942" s="22"/>
    </row>
    <row r="943" spans="3:3" x14ac:dyDescent="0.25">
      <c r="C943" s="22"/>
    </row>
    <row r="944" spans="3:3" x14ac:dyDescent="0.25">
      <c r="C944" s="22"/>
    </row>
    <row r="945" spans="3:3" x14ac:dyDescent="0.25">
      <c r="C945" s="22"/>
    </row>
    <row r="946" spans="3:3" x14ac:dyDescent="0.25">
      <c r="C946" s="22"/>
    </row>
    <row r="947" spans="3:3" x14ac:dyDescent="0.25">
      <c r="C947" s="22"/>
    </row>
    <row r="948" spans="3:3" x14ac:dyDescent="0.25">
      <c r="C948" s="22"/>
    </row>
    <row r="949" spans="3:3" x14ac:dyDescent="0.25">
      <c r="C949" s="22"/>
    </row>
    <row r="950" spans="3:3" x14ac:dyDescent="0.25">
      <c r="C950" s="22"/>
    </row>
    <row r="951" spans="3:3" x14ac:dyDescent="0.25">
      <c r="C951" s="22"/>
    </row>
    <row r="952" spans="3:3" x14ac:dyDescent="0.25">
      <c r="C952" s="22"/>
    </row>
    <row r="953" spans="3:3" x14ac:dyDescent="0.25">
      <c r="C953" s="22"/>
    </row>
    <row r="954" spans="3:3" x14ac:dyDescent="0.25">
      <c r="C954" s="22"/>
    </row>
    <row r="955" spans="3:3" x14ac:dyDescent="0.25">
      <c r="C955" s="22"/>
    </row>
    <row r="956" spans="3:3" x14ac:dyDescent="0.25">
      <c r="C956" s="22"/>
    </row>
    <row r="957" spans="3:3" x14ac:dyDescent="0.25">
      <c r="C957" s="22"/>
    </row>
    <row r="958" spans="3:3" x14ac:dyDescent="0.25">
      <c r="C958" s="22"/>
    </row>
    <row r="959" spans="3:3" x14ac:dyDescent="0.25">
      <c r="C959" s="22"/>
    </row>
    <row r="960" spans="3:3" x14ac:dyDescent="0.25">
      <c r="C960" s="22"/>
    </row>
    <row r="961" spans="3:3" x14ac:dyDescent="0.25">
      <c r="C961" s="22"/>
    </row>
    <row r="962" spans="3:3" x14ac:dyDescent="0.25">
      <c r="C962" s="22"/>
    </row>
    <row r="963" spans="3:3" x14ac:dyDescent="0.25">
      <c r="C963" s="22"/>
    </row>
    <row r="964" spans="3:3" x14ac:dyDescent="0.25">
      <c r="C964" s="22"/>
    </row>
    <row r="965" spans="3:3" x14ac:dyDescent="0.25">
      <c r="C965" s="22"/>
    </row>
    <row r="966" spans="3:3" x14ac:dyDescent="0.25">
      <c r="C966" s="22"/>
    </row>
    <row r="967" spans="3:3" x14ac:dyDescent="0.25">
      <c r="C967" s="22"/>
    </row>
    <row r="968" spans="3:3" x14ac:dyDescent="0.25">
      <c r="C968" s="22"/>
    </row>
    <row r="969" spans="3:3" x14ac:dyDescent="0.25">
      <c r="C969" s="22"/>
    </row>
    <row r="970" spans="3:3" x14ac:dyDescent="0.25">
      <c r="C970" s="22"/>
    </row>
    <row r="971" spans="3:3" x14ac:dyDescent="0.25">
      <c r="C971" s="22"/>
    </row>
    <row r="972" spans="3:3" x14ac:dyDescent="0.25">
      <c r="C972" s="22"/>
    </row>
    <row r="973" spans="3:3" x14ac:dyDescent="0.25">
      <c r="C973" s="22"/>
    </row>
    <row r="974" spans="3:3" x14ac:dyDescent="0.25">
      <c r="C974" s="22"/>
    </row>
    <row r="975" spans="3:3" x14ac:dyDescent="0.25">
      <c r="C975" s="22"/>
    </row>
    <row r="976" spans="3:3" x14ac:dyDescent="0.25">
      <c r="C976" s="22"/>
    </row>
    <row r="977" spans="3:3" x14ac:dyDescent="0.25">
      <c r="C977" s="22"/>
    </row>
    <row r="978" spans="3:3" x14ac:dyDescent="0.25">
      <c r="C978" s="22"/>
    </row>
    <row r="979" spans="3:3" x14ac:dyDescent="0.25">
      <c r="C979" s="22"/>
    </row>
    <row r="980" spans="3:3" x14ac:dyDescent="0.25">
      <c r="C980" s="22"/>
    </row>
    <row r="981" spans="3:3" x14ac:dyDescent="0.25">
      <c r="C981" s="22"/>
    </row>
    <row r="982" spans="3:3" x14ac:dyDescent="0.25">
      <c r="C982" s="22"/>
    </row>
    <row r="983" spans="3:3" x14ac:dyDescent="0.25">
      <c r="C983" s="22"/>
    </row>
    <row r="984" spans="3:3" x14ac:dyDescent="0.25">
      <c r="C984" s="22"/>
    </row>
    <row r="985" spans="3:3" x14ac:dyDescent="0.25">
      <c r="C985" s="22"/>
    </row>
    <row r="986" spans="3:3" x14ac:dyDescent="0.25">
      <c r="C986" s="22"/>
    </row>
    <row r="987" spans="3:3" x14ac:dyDescent="0.25">
      <c r="C987" s="22"/>
    </row>
    <row r="988" spans="3:3" x14ac:dyDescent="0.25">
      <c r="C988" s="22"/>
    </row>
    <row r="989" spans="3:3" x14ac:dyDescent="0.25">
      <c r="C989" s="22"/>
    </row>
    <row r="990" spans="3:3" x14ac:dyDescent="0.25">
      <c r="C990" s="22"/>
    </row>
    <row r="991" spans="3:3" x14ac:dyDescent="0.25">
      <c r="C991" s="22"/>
    </row>
    <row r="992" spans="3:3" x14ac:dyDescent="0.25">
      <c r="C992" s="22"/>
    </row>
    <row r="993" spans="3:3" x14ac:dyDescent="0.25">
      <c r="C993" s="22"/>
    </row>
    <row r="994" spans="3:3" x14ac:dyDescent="0.25">
      <c r="C994" s="22"/>
    </row>
    <row r="995" spans="3:3" x14ac:dyDescent="0.25">
      <c r="C995" s="22"/>
    </row>
    <row r="996" spans="3:3" x14ac:dyDescent="0.25">
      <c r="C996" s="22"/>
    </row>
    <row r="997" spans="3:3" x14ac:dyDescent="0.25">
      <c r="C997" s="22"/>
    </row>
    <row r="998" spans="3:3" x14ac:dyDescent="0.25">
      <c r="C998" s="22"/>
    </row>
    <row r="999" spans="3:3" x14ac:dyDescent="0.25">
      <c r="C999" s="22"/>
    </row>
    <row r="1000" spans="3:3" x14ac:dyDescent="0.25">
      <c r="C1000" s="22"/>
    </row>
    <row r="1001" spans="3:3" x14ac:dyDescent="0.25">
      <c r="C1001" s="22"/>
    </row>
    <row r="1002" spans="3:3" x14ac:dyDescent="0.25">
      <c r="C1002" s="22"/>
    </row>
    <row r="1003" spans="3:3" x14ac:dyDescent="0.25">
      <c r="C1003" s="22"/>
    </row>
    <row r="1004" spans="3:3" x14ac:dyDescent="0.25">
      <c r="C1004" s="22"/>
    </row>
    <row r="1005" spans="3:3" x14ac:dyDescent="0.25">
      <c r="C1005" s="22"/>
    </row>
    <row r="1006" spans="3:3" x14ac:dyDescent="0.25">
      <c r="C1006" s="22"/>
    </row>
    <row r="1007" spans="3:3" x14ac:dyDescent="0.25">
      <c r="C1007" s="22"/>
    </row>
    <row r="1008" spans="3:3" x14ac:dyDescent="0.25">
      <c r="C1008" s="22"/>
    </row>
    <row r="1009" spans="3:3" x14ac:dyDescent="0.25">
      <c r="C1009" s="22"/>
    </row>
    <row r="1010" spans="3:3" x14ac:dyDescent="0.25">
      <c r="C1010" s="22"/>
    </row>
    <row r="1011" spans="3:3" x14ac:dyDescent="0.25">
      <c r="C1011" s="22"/>
    </row>
    <row r="1012" spans="3:3" x14ac:dyDescent="0.25">
      <c r="C1012" s="22"/>
    </row>
    <row r="1013" spans="3:3" x14ac:dyDescent="0.25">
      <c r="C1013" s="22"/>
    </row>
    <row r="1014" spans="3:3" x14ac:dyDescent="0.25">
      <c r="C1014" s="22"/>
    </row>
    <row r="1015" spans="3:3" x14ac:dyDescent="0.25">
      <c r="C1015" s="22"/>
    </row>
    <row r="1016" spans="3:3" x14ac:dyDescent="0.25">
      <c r="C1016" s="22"/>
    </row>
    <row r="1017" spans="3:3" x14ac:dyDescent="0.25">
      <c r="C1017" s="22"/>
    </row>
    <row r="1018" spans="3:3" x14ac:dyDescent="0.25">
      <c r="C1018" s="22"/>
    </row>
    <row r="1019" spans="3:3" x14ac:dyDescent="0.25">
      <c r="C1019" s="22"/>
    </row>
    <row r="1020" spans="3:3" x14ac:dyDescent="0.25">
      <c r="C1020" s="22"/>
    </row>
    <row r="1021" spans="3:3" x14ac:dyDescent="0.25">
      <c r="C1021" s="22"/>
    </row>
    <row r="1022" spans="3:3" x14ac:dyDescent="0.25">
      <c r="C1022" s="22"/>
    </row>
    <row r="1023" spans="3:3" x14ac:dyDescent="0.25">
      <c r="C1023" s="22"/>
    </row>
    <row r="1024" spans="3:3" x14ac:dyDescent="0.25">
      <c r="C1024" s="22"/>
    </row>
    <row r="1025" spans="3:3" x14ac:dyDescent="0.25">
      <c r="C1025" s="22"/>
    </row>
    <row r="1026" spans="3:3" x14ac:dyDescent="0.25">
      <c r="C1026" s="22"/>
    </row>
    <row r="1027" spans="3:3" x14ac:dyDescent="0.25">
      <c r="C1027" s="22"/>
    </row>
    <row r="1028" spans="3:3" x14ac:dyDescent="0.25">
      <c r="C1028" s="22"/>
    </row>
    <row r="1029" spans="3:3" x14ac:dyDescent="0.25">
      <c r="C1029" s="22"/>
    </row>
    <row r="1030" spans="3:3" x14ac:dyDescent="0.25">
      <c r="C1030" s="22"/>
    </row>
    <row r="1031" spans="3:3" x14ac:dyDescent="0.25">
      <c r="C1031" s="22"/>
    </row>
    <row r="1032" spans="3:3" x14ac:dyDescent="0.25">
      <c r="C1032" s="22"/>
    </row>
    <row r="1033" spans="3:3" x14ac:dyDescent="0.25">
      <c r="C1033" s="22"/>
    </row>
    <row r="1034" spans="3:3" x14ac:dyDescent="0.25">
      <c r="C1034" s="22"/>
    </row>
    <row r="1035" spans="3:3" x14ac:dyDescent="0.25">
      <c r="C1035" s="22"/>
    </row>
    <row r="1036" spans="3:3" x14ac:dyDescent="0.25">
      <c r="C1036" s="22"/>
    </row>
    <row r="1037" spans="3:3" x14ac:dyDescent="0.25">
      <c r="C1037" s="22"/>
    </row>
    <row r="1038" spans="3:3" x14ac:dyDescent="0.25">
      <c r="C1038" s="22"/>
    </row>
    <row r="1039" spans="3:3" x14ac:dyDescent="0.25">
      <c r="C1039" s="22"/>
    </row>
    <row r="1040" spans="3:3" x14ac:dyDescent="0.25">
      <c r="C1040" s="22"/>
    </row>
    <row r="1041" spans="3:3" x14ac:dyDescent="0.25">
      <c r="C1041" s="22"/>
    </row>
    <row r="1042" spans="3:3" x14ac:dyDescent="0.25">
      <c r="C1042" s="22"/>
    </row>
    <row r="1043" spans="3:3" x14ac:dyDescent="0.25">
      <c r="C1043" s="22"/>
    </row>
    <row r="1044" spans="3:3" x14ac:dyDescent="0.25">
      <c r="C1044" s="22"/>
    </row>
    <row r="1045" spans="3:3" x14ac:dyDescent="0.25">
      <c r="C1045" s="22"/>
    </row>
    <row r="1046" spans="3:3" x14ac:dyDescent="0.25">
      <c r="C1046" s="22"/>
    </row>
    <row r="1047" spans="3:3" x14ac:dyDescent="0.25">
      <c r="C1047" s="22"/>
    </row>
    <row r="1048" spans="3:3" x14ac:dyDescent="0.25">
      <c r="C1048" s="22"/>
    </row>
    <row r="1049" spans="3:3" x14ac:dyDescent="0.25">
      <c r="C1049" s="22"/>
    </row>
    <row r="1050" spans="3:3" x14ac:dyDescent="0.25">
      <c r="C1050" s="22"/>
    </row>
    <row r="1051" spans="3:3" x14ac:dyDescent="0.25">
      <c r="C1051" s="22"/>
    </row>
    <row r="1052" spans="3:3" x14ac:dyDescent="0.25">
      <c r="C1052" s="22"/>
    </row>
    <row r="1053" spans="3:3" x14ac:dyDescent="0.25">
      <c r="C1053" s="22"/>
    </row>
    <row r="1054" spans="3:3" x14ac:dyDescent="0.25">
      <c r="C1054" s="22"/>
    </row>
    <row r="1055" spans="3:3" x14ac:dyDescent="0.25">
      <c r="C1055" s="22"/>
    </row>
    <row r="1056" spans="3:3" x14ac:dyDescent="0.25">
      <c r="C1056" s="22"/>
    </row>
    <row r="1057" spans="3:3" x14ac:dyDescent="0.25">
      <c r="C1057" s="22"/>
    </row>
    <row r="1058" spans="3:3" x14ac:dyDescent="0.25">
      <c r="C1058" s="22"/>
    </row>
    <row r="1059" spans="3:3" x14ac:dyDescent="0.25">
      <c r="C1059" s="22"/>
    </row>
    <row r="1060" spans="3:3" x14ac:dyDescent="0.25">
      <c r="C1060" s="22"/>
    </row>
    <row r="1061" spans="3:3" x14ac:dyDescent="0.25">
      <c r="C1061" s="22"/>
    </row>
    <row r="1062" spans="3:3" x14ac:dyDescent="0.25">
      <c r="C1062" s="22"/>
    </row>
    <row r="1063" spans="3:3" x14ac:dyDescent="0.25">
      <c r="C1063" s="22"/>
    </row>
    <row r="1064" spans="3:3" x14ac:dyDescent="0.25">
      <c r="C1064" s="22"/>
    </row>
    <row r="1065" spans="3:3" x14ac:dyDescent="0.25">
      <c r="C1065" s="22"/>
    </row>
    <row r="1066" spans="3:3" x14ac:dyDescent="0.25">
      <c r="C1066" s="22"/>
    </row>
    <row r="1067" spans="3:3" x14ac:dyDescent="0.25">
      <c r="C1067" s="22"/>
    </row>
    <row r="1068" spans="3:3" x14ac:dyDescent="0.25">
      <c r="C1068" s="22"/>
    </row>
    <row r="1069" spans="3:3" x14ac:dyDescent="0.25">
      <c r="C1069" s="22"/>
    </row>
    <row r="1070" spans="3:3" x14ac:dyDescent="0.25">
      <c r="C1070" s="22"/>
    </row>
    <row r="1071" spans="3:3" x14ac:dyDescent="0.25">
      <c r="C1071" s="22"/>
    </row>
    <row r="1072" spans="3:3" x14ac:dyDescent="0.25">
      <c r="C1072" s="22"/>
    </row>
    <row r="1073" spans="3:3" x14ac:dyDescent="0.25">
      <c r="C1073" s="22"/>
    </row>
    <row r="1074" spans="3:3" x14ac:dyDescent="0.25">
      <c r="C1074" s="22"/>
    </row>
    <row r="1075" spans="3:3" x14ac:dyDescent="0.25">
      <c r="C1075" s="22"/>
    </row>
    <row r="1076" spans="3:3" x14ac:dyDescent="0.25">
      <c r="C1076" s="22"/>
    </row>
    <row r="1077" spans="3:3" x14ac:dyDescent="0.25">
      <c r="C1077" s="22"/>
    </row>
    <row r="1078" spans="3:3" x14ac:dyDescent="0.25">
      <c r="C1078" s="22"/>
    </row>
    <row r="1079" spans="3:3" x14ac:dyDescent="0.25">
      <c r="C1079" s="22"/>
    </row>
    <row r="1080" spans="3:3" x14ac:dyDescent="0.25">
      <c r="C1080" s="22"/>
    </row>
    <row r="1081" spans="3:3" x14ac:dyDescent="0.25">
      <c r="C1081" s="22"/>
    </row>
    <row r="1082" spans="3:3" x14ac:dyDescent="0.25">
      <c r="C1082" s="22"/>
    </row>
    <row r="1083" spans="3:3" x14ac:dyDescent="0.25">
      <c r="C1083" s="22"/>
    </row>
    <row r="1084" spans="3:3" x14ac:dyDescent="0.25">
      <c r="C1084" s="22"/>
    </row>
    <row r="1085" spans="3:3" x14ac:dyDescent="0.25">
      <c r="C1085" s="22"/>
    </row>
    <row r="1086" spans="3:3" x14ac:dyDescent="0.25">
      <c r="C1086" s="22"/>
    </row>
    <row r="1087" spans="3:3" x14ac:dyDescent="0.25">
      <c r="C1087" s="22"/>
    </row>
    <row r="1088" spans="3:3" x14ac:dyDescent="0.25">
      <c r="C1088" s="22"/>
    </row>
    <row r="1089" spans="3:3" x14ac:dyDescent="0.25">
      <c r="C1089" s="22"/>
    </row>
    <row r="1090" spans="3:3" x14ac:dyDescent="0.25">
      <c r="C1090" s="22"/>
    </row>
    <row r="1091" spans="3:3" x14ac:dyDescent="0.25">
      <c r="C1091" s="22"/>
    </row>
    <row r="1092" spans="3:3" x14ac:dyDescent="0.25">
      <c r="C1092" s="22"/>
    </row>
    <row r="1093" spans="3:3" x14ac:dyDescent="0.25">
      <c r="C1093" s="22"/>
    </row>
    <row r="1094" spans="3:3" x14ac:dyDescent="0.25">
      <c r="C1094" s="22"/>
    </row>
    <row r="1095" spans="3:3" x14ac:dyDescent="0.25">
      <c r="C1095" s="22"/>
    </row>
    <row r="1096" spans="3:3" x14ac:dyDescent="0.25">
      <c r="C1096" s="22"/>
    </row>
    <row r="1097" spans="3:3" x14ac:dyDescent="0.25">
      <c r="C1097" s="22"/>
    </row>
    <row r="1098" spans="3:3" x14ac:dyDescent="0.25">
      <c r="C1098" s="22"/>
    </row>
    <row r="1099" spans="3:3" x14ac:dyDescent="0.25">
      <c r="C1099" s="22"/>
    </row>
    <row r="1100" spans="3:3" x14ac:dyDescent="0.25">
      <c r="C1100" s="22"/>
    </row>
    <row r="1101" spans="3:3" x14ac:dyDescent="0.25">
      <c r="C1101" s="22"/>
    </row>
    <row r="1102" spans="3:3" x14ac:dyDescent="0.25">
      <c r="C1102" s="22"/>
    </row>
    <row r="1103" spans="3:3" x14ac:dyDescent="0.25">
      <c r="C1103" s="22"/>
    </row>
    <row r="1104" spans="3:3" x14ac:dyDescent="0.25">
      <c r="C1104" s="22"/>
    </row>
    <row r="1105" spans="3:3" x14ac:dyDescent="0.25">
      <c r="C1105" s="22"/>
    </row>
    <row r="1106" spans="3:3" x14ac:dyDescent="0.25">
      <c r="C1106" s="22"/>
    </row>
    <row r="1107" spans="3:3" x14ac:dyDescent="0.25">
      <c r="C1107" s="22"/>
    </row>
    <row r="1108" spans="3:3" x14ac:dyDescent="0.25">
      <c r="C1108" s="22"/>
    </row>
    <row r="1109" spans="3:3" x14ac:dyDescent="0.25">
      <c r="C1109" s="22"/>
    </row>
    <row r="1110" spans="3:3" x14ac:dyDescent="0.25">
      <c r="C1110" s="22"/>
    </row>
    <row r="1111" spans="3:3" x14ac:dyDescent="0.25">
      <c r="C1111" s="22"/>
    </row>
    <row r="1112" spans="3:3" x14ac:dyDescent="0.25">
      <c r="C1112" s="22"/>
    </row>
    <row r="1113" spans="3:3" x14ac:dyDescent="0.25">
      <c r="C1113" s="22"/>
    </row>
    <row r="1114" spans="3:3" x14ac:dyDescent="0.25">
      <c r="C1114" s="22"/>
    </row>
    <row r="1115" spans="3:3" x14ac:dyDescent="0.25">
      <c r="C1115" s="22"/>
    </row>
    <row r="1116" spans="3:3" x14ac:dyDescent="0.25">
      <c r="C1116" s="22"/>
    </row>
    <row r="1117" spans="3:3" x14ac:dyDescent="0.25">
      <c r="C1117" s="22"/>
    </row>
    <row r="1118" spans="3:3" x14ac:dyDescent="0.25">
      <c r="C1118" s="22"/>
    </row>
    <row r="1119" spans="3:3" x14ac:dyDescent="0.25">
      <c r="C1119" s="22"/>
    </row>
    <row r="1120" spans="3:3" x14ac:dyDescent="0.25">
      <c r="C1120" s="22"/>
    </row>
    <row r="1121" spans="3:3" x14ac:dyDescent="0.25">
      <c r="C1121" s="22"/>
    </row>
    <row r="1122" spans="3:3" x14ac:dyDescent="0.25">
      <c r="C1122" s="22"/>
    </row>
    <row r="1123" spans="3:3" x14ac:dyDescent="0.25">
      <c r="C1123" s="22"/>
    </row>
    <row r="1124" spans="3:3" x14ac:dyDescent="0.25">
      <c r="C1124" s="22"/>
    </row>
    <row r="1125" spans="3:3" x14ac:dyDescent="0.25">
      <c r="C1125" s="22"/>
    </row>
    <row r="1126" spans="3:3" x14ac:dyDescent="0.25">
      <c r="C1126" s="22"/>
    </row>
    <row r="1127" spans="3:3" x14ac:dyDescent="0.25">
      <c r="C1127" s="22"/>
    </row>
    <row r="1128" spans="3:3" x14ac:dyDescent="0.25">
      <c r="C1128" s="22"/>
    </row>
    <row r="1129" spans="3:3" x14ac:dyDescent="0.25">
      <c r="C1129" s="22"/>
    </row>
    <row r="1130" spans="3:3" x14ac:dyDescent="0.25">
      <c r="C1130" s="22"/>
    </row>
    <row r="1131" spans="3:3" x14ac:dyDescent="0.25">
      <c r="C1131" s="22"/>
    </row>
    <row r="1132" spans="3:3" x14ac:dyDescent="0.25">
      <c r="C1132" s="22"/>
    </row>
    <row r="1133" spans="3:3" x14ac:dyDescent="0.25">
      <c r="C1133" s="22"/>
    </row>
    <row r="1134" spans="3:3" x14ac:dyDescent="0.25">
      <c r="C1134" s="22"/>
    </row>
    <row r="1135" spans="3:3" x14ac:dyDescent="0.25">
      <c r="C1135" s="22"/>
    </row>
    <row r="1136" spans="3:3" x14ac:dyDescent="0.25">
      <c r="C1136" s="22"/>
    </row>
    <row r="1137" spans="3:3" x14ac:dyDescent="0.25">
      <c r="C1137" s="22"/>
    </row>
    <row r="1138" spans="3:3" x14ac:dyDescent="0.25">
      <c r="C1138" s="22"/>
    </row>
    <row r="1139" spans="3:3" x14ac:dyDescent="0.25">
      <c r="C1139" s="22"/>
    </row>
    <row r="1140" spans="3:3" x14ac:dyDescent="0.25">
      <c r="C1140" s="22"/>
    </row>
    <row r="1141" spans="3:3" x14ac:dyDescent="0.25">
      <c r="C1141" s="22"/>
    </row>
    <row r="1142" spans="3:3" x14ac:dyDescent="0.25">
      <c r="C1142" s="22"/>
    </row>
    <row r="1143" spans="3:3" x14ac:dyDescent="0.25">
      <c r="C1143" s="22"/>
    </row>
    <row r="1144" spans="3:3" x14ac:dyDescent="0.25">
      <c r="C1144" s="22"/>
    </row>
    <row r="1145" spans="3:3" x14ac:dyDescent="0.25">
      <c r="C1145" s="22"/>
    </row>
    <row r="1146" spans="3:3" x14ac:dyDescent="0.25">
      <c r="C1146" s="22"/>
    </row>
    <row r="1147" spans="3:3" x14ac:dyDescent="0.25">
      <c r="C1147" s="22"/>
    </row>
    <row r="1148" spans="3:3" x14ac:dyDescent="0.25">
      <c r="C1148" s="22"/>
    </row>
    <row r="1149" spans="3:3" x14ac:dyDescent="0.25">
      <c r="C1149" s="22"/>
    </row>
    <row r="1150" spans="3:3" x14ac:dyDescent="0.25">
      <c r="C1150" s="22"/>
    </row>
    <row r="1151" spans="3:3" x14ac:dyDescent="0.25">
      <c r="C1151" s="22"/>
    </row>
    <row r="1152" spans="3:3" x14ac:dyDescent="0.25">
      <c r="C1152" s="22"/>
    </row>
    <row r="1153" spans="3:3" x14ac:dyDescent="0.25">
      <c r="C1153" s="22"/>
    </row>
    <row r="1154" spans="3:3" x14ac:dyDescent="0.25">
      <c r="C1154" s="22"/>
    </row>
    <row r="1155" spans="3:3" x14ac:dyDescent="0.25">
      <c r="C1155" s="22"/>
    </row>
    <row r="1156" spans="3:3" x14ac:dyDescent="0.25">
      <c r="C1156" s="22"/>
    </row>
    <row r="1157" spans="3:3" x14ac:dyDescent="0.25">
      <c r="C1157" s="22"/>
    </row>
    <row r="1158" spans="3:3" x14ac:dyDescent="0.25">
      <c r="C1158" s="22"/>
    </row>
    <row r="1159" spans="3:3" x14ac:dyDescent="0.25">
      <c r="C1159" s="22"/>
    </row>
    <row r="1160" spans="3:3" x14ac:dyDescent="0.25">
      <c r="C1160" s="22"/>
    </row>
    <row r="1161" spans="3:3" x14ac:dyDescent="0.25">
      <c r="C1161" s="22"/>
    </row>
    <row r="1162" spans="3:3" x14ac:dyDescent="0.25">
      <c r="C1162" s="22"/>
    </row>
    <row r="1163" spans="3:3" x14ac:dyDescent="0.25">
      <c r="C1163" s="22"/>
    </row>
    <row r="1164" spans="3:3" x14ac:dyDescent="0.25">
      <c r="C1164" s="22"/>
    </row>
    <row r="1165" spans="3:3" x14ac:dyDescent="0.25">
      <c r="C1165" s="22"/>
    </row>
    <row r="1166" spans="3:3" x14ac:dyDescent="0.25">
      <c r="C1166" s="22"/>
    </row>
    <row r="1167" spans="3:3" x14ac:dyDescent="0.25">
      <c r="C1167" s="22"/>
    </row>
    <row r="1168" spans="3:3" x14ac:dyDescent="0.25">
      <c r="C1168" s="22"/>
    </row>
    <row r="1169" spans="3:3" x14ac:dyDescent="0.25">
      <c r="C1169" s="22"/>
    </row>
    <row r="1170" spans="3:3" x14ac:dyDescent="0.25">
      <c r="C1170" s="22"/>
    </row>
    <row r="1171" spans="3:3" x14ac:dyDescent="0.25">
      <c r="C1171" s="22"/>
    </row>
    <row r="1172" spans="3:3" x14ac:dyDescent="0.25">
      <c r="C1172" s="22"/>
    </row>
    <row r="1173" spans="3:3" x14ac:dyDescent="0.25">
      <c r="C1173" s="22"/>
    </row>
    <row r="1174" spans="3:3" x14ac:dyDescent="0.25">
      <c r="C1174" s="22"/>
    </row>
    <row r="1175" spans="3:3" x14ac:dyDescent="0.25">
      <c r="C1175" s="22"/>
    </row>
    <row r="1176" spans="3:3" x14ac:dyDescent="0.25">
      <c r="C1176" s="22"/>
    </row>
    <row r="1177" spans="3:3" x14ac:dyDescent="0.25">
      <c r="C1177" s="22"/>
    </row>
    <row r="1178" spans="3:3" x14ac:dyDescent="0.25">
      <c r="C1178" s="22"/>
    </row>
    <row r="1179" spans="3:3" x14ac:dyDescent="0.25">
      <c r="C1179" s="22"/>
    </row>
    <row r="1180" spans="3:3" x14ac:dyDescent="0.25">
      <c r="C1180" s="22"/>
    </row>
    <row r="1181" spans="3:3" x14ac:dyDescent="0.25">
      <c r="C1181" s="22"/>
    </row>
    <row r="1182" spans="3:3" x14ac:dyDescent="0.25">
      <c r="C1182" s="22"/>
    </row>
    <row r="1183" spans="3:3" x14ac:dyDescent="0.25">
      <c r="C1183" s="22"/>
    </row>
    <row r="1184" spans="3:3" x14ac:dyDescent="0.25">
      <c r="C1184" s="22"/>
    </row>
    <row r="1185" spans="3:3" x14ac:dyDescent="0.25">
      <c r="C1185" s="22"/>
    </row>
    <row r="1186" spans="3:3" x14ac:dyDescent="0.25">
      <c r="C1186" s="22"/>
    </row>
    <row r="1187" spans="3:3" x14ac:dyDescent="0.25">
      <c r="C1187" s="22"/>
    </row>
    <row r="1188" spans="3:3" x14ac:dyDescent="0.25">
      <c r="C1188" s="22"/>
    </row>
    <row r="1189" spans="3:3" x14ac:dyDescent="0.25">
      <c r="C1189" s="22"/>
    </row>
    <row r="1190" spans="3:3" x14ac:dyDescent="0.25">
      <c r="C1190" s="22"/>
    </row>
    <row r="1191" spans="3:3" x14ac:dyDescent="0.25">
      <c r="C1191" s="22"/>
    </row>
    <row r="1192" spans="3:3" x14ac:dyDescent="0.25">
      <c r="C1192" s="22"/>
    </row>
    <row r="1193" spans="3:3" x14ac:dyDescent="0.25">
      <c r="C1193" s="22"/>
    </row>
    <row r="1194" spans="3:3" x14ac:dyDescent="0.25">
      <c r="C1194" s="22"/>
    </row>
    <row r="1195" spans="3:3" x14ac:dyDescent="0.25">
      <c r="C1195" s="22"/>
    </row>
    <row r="1196" spans="3:3" x14ac:dyDescent="0.25">
      <c r="C1196" s="22"/>
    </row>
    <row r="1197" spans="3:3" x14ac:dyDescent="0.25">
      <c r="C1197" s="22"/>
    </row>
    <row r="1198" spans="3:3" x14ac:dyDescent="0.25">
      <c r="C1198" s="22"/>
    </row>
    <row r="1199" spans="3:3" x14ac:dyDescent="0.25">
      <c r="C1199" s="22"/>
    </row>
    <row r="1200" spans="3:3" x14ac:dyDescent="0.25">
      <c r="C1200" s="22"/>
    </row>
    <row r="1201" spans="3:3" x14ac:dyDescent="0.25">
      <c r="C1201" s="22"/>
    </row>
    <row r="1202" spans="3:3" x14ac:dyDescent="0.25">
      <c r="C1202" s="22"/>
    </row>
    <row r="1203" spans="3:3" x14ac:dyDescent="0.25">
      <c r="C1203" s="22"/>
    </row>
    <row r="1204" spans="3:3" x14ac:dyDescent="0.25">
      <c r="C1204" s="22"/>
    </row>
    <row r="1205" spans="3:3" x14ac:dyDescent="0.25">
      <c r="C1205" s="22"/>
    </row>
    <row r="1206" spans="3:3" x14ac:dyDescent="0.25">
      <c r="C1206" s="22"/>
    </row>
    <row r="1207" spans="3:3" x14ac:dyDescent="0.25">
      <c r="C1207" s="22"/>
    </row>
    <row r="1208" spans="3:3" x14ac:dyDescent="0.25">
      <c r="C1208" s="22"/>
    </row>
    <row r="1209" spans="3:3" x14ac:dyDescent="0.25">
      <c r="C1209" s="22"/>
    </row>
    <row r="1210" spans="3:3" x14ac:dyDescent="0.25">
      <c r="C1210" s="22"/>
    </row>
    <row r="1211" spans="3:3" x14ac:dyDescent="0.25">
      <c r="C1211" s="22"/>
    </row>
    <row r="1212" spans="3:3" x14ac:dyDescent="0.25">
      <c r="C1212" s="22"/>
    </row>
    <row r="1213" spans="3:3" x14ac:dyDescent="0.25">
      <c r="C1213" s="22"/>
    </row>
    <row r="1214" spans="3:3" x14ac:dyDescent="0.25">
      <c r="C1214" s="22"/>
    </row>
    <row r="1215" spans="3:3" x14ac:dyDescent="0.25">
      <c r="C1215" s="22"/>
    </row>
    <row r="1216" spans="3:3" x14ac:dyDescent="0.25">
      <c r="C1216" s="22"/>
    </row>
    <row r="1217" spans="3:3" x14ac:dyDescent="0.25">
      <c r="C1217" s="22"/>
    </row>
    <row r="1218" spans="3:3" x14ac:dyDescent="0.25">
      <c r="C1218" s="22"/>
    </row>
    <row r="1219" spans="3:3" x14ac:dyDescent="0.25">
      <c r="C1219" s="22"/>
    </row>
    <row r="1220" spans="3:3" x14ac:dyDescent="0.25">
      <c r="C1220" s="22"/>
    </row>
    <row r="1221" spans="3:3" x14ac:dyDescent="0.25">
      <c r="C1221" s="22"/>
    </row>
    <row r="1222" spans="3:3" x14ac:dyDescent="0.25">
      <c r="C1222" s="22"/>
    </row>
    <row r="1223" spans="3:3" x14ac:dyDescent="0.25">
      <c r="C1223" s="22"/>
    </row>
    <row r="1224" spans="3:3" x14ac:dyDescent="0.25">
      <c r="C1224" s="22"/>
    </row>
    <row r="1225" spans="3:3" x14ac:dyDescent="0.25">
      <c r="C1225" s="22"/>
    </row>
    <row r="1226" spans="3:3" x14ac:dyDescent="0.25">
      <c r="C1226" s="22"/>
    </row>
    <row r="1227" spans="3:3" x14ac:dyDescent="0.25">
      <c r="C1227" s="22"/>
    </row>
    <row r="1228" spans="3:3" x14ac:dyDescent="0.25">
      <c r="C1228" s="22"/>
    </row>
    <row r="1229" spans="3:3" x14ac:dyDescent="0.25">
      <c r="C1229" s="22"/>
    </row>
    <row r="1230" spans="3:3" x14ac:dyDescent="0.25">
      <c r="C1230" s="22"/>
    </row>
    <row r="1231" spans="3:3" x14ac:dyDescent="0.25">
      <c r="C1231" s="22"/>
    </row>
    <row r="1232" spans="3:3" x14ac:dyDescent="0.25">
      <c r="C1232" s="22"/>
    </row>
    <row r="1233" spans="3:3" x14ac:dyDescent="0.25">
      <c r="C1233" s="22"/>
    </row>
    <row r="1234" spans="3:3" x14ac:dyDescent="0.25">
      <c r="C1234" s="22"/>
    </row>
    <row r="1235" spans="3:3" x14ac:dyDescent="0.25">
      <c r="C1235" s="22"/>
    </row>
    <row r="1236" spans="3:3" x14ac:dyDescent="0.25">
      <c r="C1236" s="22"/>
    </row>
    <row r="1237" spans="3:3" x14ac:dyDescent="0.25">
      <c r="C1237" s="22"/>
    </row>
    <row r="1238" spans="3:3" x14ac:dyDescent="0.25">
      <c r="C1238" s="22"/>
    </row>
    <row r="1239" spans="3:3" x14ac:dyDescent="0.25">
      <c r="C1239" s="22"/>
    </row>
    <row r="1240" spans="3:3" x14ac:dyDescent="0.25">
      <c r="C1240" s="22"/>
    </row>
    <row r="1241" spans="3:3" x14ac:dyDescent="0.25">
      <c r="C1241" s="22"/>
    </row>
    <row r="1242" spans="3:3" x14ac:dyDescent="0.25">
      <c r="C1242" s="22"/>
    </row>
    <row r="1243" spans="3:3" x14ac:dyDescent="0.25">
      <c r="C1243" s="22"/>
    </row>
    <row r="1244" spans="3:3" x14ac:dyDescent="0.25">
      <c r="C1244" s="22"/>
    </row>
    <row r="1245" spans="3:3" x14ac:dyDescent="0.25">
      <c r="C1245" s="22"/>
    </row>
    <row r="1246" spans="3:3" x14ac:dyDescent="0.25">
      <c r="C1246" s="22"/>
    </row>
    <row r="1247" spans="3:3" x14ac:dyDescent="0.25">
      <c r="C1247" s="22"/>
    </row>
    <row r="1248" spans="3:3" x14ac:dyDescent="0.25">
      <c r="C1248" s="22"/>
    </row>
    <row r="1249" spans="3:3" x14ac:dyDescent="0.25">
      <c r="C1249" s="22"/>
    </row>
    <row r="1250" spans="3:3" x14ac:dyDescent="0.25">
      <c r="C1250" s="22"/>
    </row>
    <row r="1251" spans="3:3" x14ac:dyDescent="0.25">
      <c r="C1251" s="22"/>
    </row>
    <row r="1252" spans="3:3" x14ac:dyDescent="0.25">
      <c r="C1252" s="22"/>
    </row>
    <row r="1253" spans="3:3" x14ac:dyDescent="0.25">
      <c r="C1253" s="22"/>
    </row>
    <row r="1254" spans="3:3" x14ac:dyDescent="0.25">
      <c r="C1254" s="22"/>
    </row>
    <row r="1255" spans="3:3" x14ac:dyDescent="0.25">
      <c r="C1255" s="22"/>
    </row>
    <row r="1256" spans="3:3" x14ac:dyDescent="0.25">
      <c r="C1256" s="22"/>
    </row>
    <row r="1257" spans="3:3" x14ac:dyDescent="0.25">
      <c r="C1257" s="22"/>
    </row>
    <row r="1258" spans="3:3" x14ac:dyDescent="0.25">
      <c r="C1258" s="22"/>
    </row>
    <row r="1259" spans="3:3" x14ac:dyDescent="0.25">
      <c r="C1259" s="22"/>
    </row>
    <row r="1260" spans="3:3" x14ac:dyDescent="0.25">
      <c r="C1260" s="22"/>
    </row>
    <row r="1261" spans="3:3" x14ac:dyDescent="0.25">
      <c r="C1261" s="22"/>
    </row>
    <row r="1262" spans="3:3" x14ac:dyDescent="0.25">
      <c r="C1262" s="22"/>
    </row>
    <row r="1263" spans="3:3" x14ac:dyDescent="0.25">
      <c r="C1263" s="22"/>
    </row>
    <row r="1264" spans="3:3" x14ac:dyDescent="0.25">
      <c r="C1264" s="22"/>
    </row>
    <row r="1265" spans="3:3" x14ac:dyDescent="0.25">
      <c r="C1265" s="22"/>
    </row>
    <row r="1266" spans="3:3" x14ac:dyDescent="0.25">
      <c r="C1266" s="22"/>
    </row>
    <row r="1267" spans="3:3" x14ac:dyDescent="0.25">
      <c r="C1267" s="22"/>
    </row>
    <row r="1268" spans="3:3" x14ac:dyDescent="0.25">
      <c r="C1268" s="22"/>
    </row>
    <row r="1269" spans="3:3" x14ac:dyDescent="0.25">
      <c r="C1269" s="22"/>
    </row>
    <row r="1270" spans="3:3" x14ac:dyDescent="0.25">
      <c r="C1270" s="22"/>
    </row>
    <row r="1271" spans="3:3" x14ac:dyDescent="0.25">
      <c r="C1271" s="22"/>
    </row>
    <row r="1272" spans="3:3" x14ac:dyDescent="0.25">
      <c r="C1272" s="22"/>
    </row>
    <row r="1273" spans="3:3" x14ac:dyDescent="0.25">
      <c r="C1273" s="22"/>
    </row>
    <row r="1274" spans="3:3" x14ac:dyDescent="0.25">
      <c r="C1274" s="22"/>
    </row>
    <row r="1275" spans="3:3" x14ac:dyDescent="0.25">
      <c r="C1275" s="22"/>
    </row>
    <row r="1276" spans="3:3" x14ac:dyDescent="0.25">
      <c r="C1276" s="22"/>
    </row>
    <row r="1277" spans="3:3" x14ac:dyDescent="0.25">
      <c r="C1277" s="22"/>
    </row>
    <row r="1278" spans="3:3" x14ac:dyDescent="0.25">
      <c r="C1278" s="22"/>
    </row>
    <row r="1279" spans="3:3" x14ac:dyDescent="0.25">
      <c r="C1279" s="22"/>
    </row>
    <row r="1280" spans="3:3" x14ac:dyDescent="0.25">
      <c r="C1280" s="22"/>
    </row>
    <row r="1281" spans="3:3" x14ac:dyDescent="0.25">
      <c r="C1281" s="22"/>
    </row>
    <row r="1282" spans="3:3" x14ac:dyDescent="0.25">
      <c r="C1282" s="22"/>
    </row>
    <row r="1283" spans="3:3" x14ac:dyDescent="0.25">
      <c r="C1283" s="22"/>
    </row>
    <row r="1284" spans="3:3" x14ac:dyDescent="0.25">
      <c r="C1284" s="22"/>
    </row>
    <row r="1285" spans="3:3" x14ac:dyDescent="0.25">
      <c r="C1285" s="22"/>
    </row>
    <row r="1286" spans="3:3" x14ac:dyDescent="0.25">
      <c r="C1286" s="22"/>
    </row>
    <row r="1287" spans="3:3" x14ac:dyDescent="0.25">
      <c r="C1287" s="22"/>
    </row>
    <row r="1288" spans="3:3" x14ac:dyDescent="0.25">
      <c r="C1288" s="22"/>
    </row>
    <row r="1289" spans="3:3" x14ac:dyDescent="0.25">
      <c r="C1289" s="22"/>
    </row>
    <row r="1290" spans="3:3" x14ac:dyDescent="0.25">
      <c r="C1290" s="22"/>
    </row>
    <row r="1291" spans="3:3" x14ac:dyDescent="0.25">
      <c r="C1291" s="22"/>
    </row>
    <row r="1292" spans="3:3" x14ac:dyDescent="0.25">
      <c r="C1292" s="22"/>
    </row>
    <row r="1293" spans="3:3" x14ac:dyDescent="0.25">
      <c r="C1293" s="22"/>
    </row>
    <row r="1294" spans="3:3" x14ac:dyDescent="0.25">
      <c r="C1294" s="22"/>
    </row>
    <row r="1295" spans="3:3" x14ac:dyDescent="0.25">
      <c r="C1295" s="22"/>
    </row>
    <row r="1296" spans="3:3" x14ac:dyDescent="0.25">
      <c r="C1296" s="22"/>
    </row>
    <row r="1297" spans="3:3" x14ac:dyDescent="0.25">
      <c r="C1297" s="22"/>
    </row>
    <row r="1298" spans="3:3" x14ac:dyDescent="0.25">
      <c r="C1298" s="22"/>
    </row>
    <row r="1299" spans="3:3" x14ac:dyDescent="0.25">
      <c r="C1299" s="22"/>
    </row>
    <row r="1300" spans="3:3" x14ac:dyDescent="0.25">
      <c r="C1300" s="22"/>
    </row>
  </sheetData>
  <mergeCells count="1">
    <mergeCell ref="B2:D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A0E56-6AF8-40E3-847B-C652A726FCC8}">
  <dimension ref="A1:BC1302"/>
  <sheetViews>
    <sheetView tabSelected="1" topLeftCell="A5" zoomScale="115" zoomScaleNormal="115" workbookViewId="0">
      <selection activeCell="B17" sqref="B17"/>
    </sheetView>
  </sheetViews>
  <sheetFormatPr defaultColWidth="11.7109375" defaultRowHeight="15.75" x14ac:dyDescent="0.25"/>
  <cols>
    <col min="1" max="1" width="3" style="1" customWidth="1"/>
    <col min="2" max="2" width="21.85546875" style="2" customWidth="1"/>
    <col min="3" max="4" width="18" style="2" customWidth="1"/>
    <col min="5" max="5" width="17.5703125" style="2" customWidth="1"/>
    <col min="6" max="8" width="13.7109375" style="2" customWidth="1"/>
    <col min="9" max="9" width="23.5703125" style="2" customWidth="1"/>
    <col min="10" max="10" width="25.28515625" style="2" customWidth="1"/>
    <col min="11" max="11" width="19.7109375" style="2" customWidth="1"/>
    <col min="12" max="12" width="11.7109375" style="2"/>
    <col min="13" max="13" width="11.140625" style="2" customWidth="1"/>
    <col min="14" max="14" width="25.28515625" style="2" customWidth="1"/>
    <col min="15" max="15" width="17.7109375" style="2" customWidth="1"/>
    <col min="16" max="16" width="19.7109375" style="2" customWidth="1"/>
    <col min="17" max="17" width="25.28515625" style="2" customWidth="1"/>
    <col min="18" max="18" width="17.7109375" style="2" customWidth="1"/>
    <col min="19" max="19" width="19.7109375" style="2" customWidth="1"/>
    <col min="20" max="20" width="25.28515625" style="2" customWidth="1"/>
    <col min="21" max="21" width="17.7109375" style="2" customWidth="1"/>
    <col min="22" max="22" width="19.7109375" style="2" customWidth="1"/>
    <col min="23" max="23" width="25.28515625" style="2" customWidth="1"/>
    <col min="24" max="24" width="17.7109375" style="2" customWidth="1"/>
    <col min="25" max="25" width="19.7109375" style="2" customWidth="1"/>
    <col min="26" max="26" width="25.28515625" style="2" customWidth="1"/>
    <col min="27" max="27" width="17.7109375" style="2" customWidth="1"/>
    <col min="28" max="28" width="19.7109375" style="2" customWidth="1"/>
    <col min="29" max="29" width="25.28515625" style="2" customWidth="1"/>
    <col min="30" max="30" width="17.7109375" style="2" customWidth="1"/>
    <col min="31" max="31" width="19.7109375" style="2" customWidth="1"/>
    <col min="32" max="32" width="25.28515625" style="2" customWidth="1"/>
    <col min="33" max="33" width="17.7109375" style="2" customWidth="1"/>
    <col min="34" max="34" width="19.7109375" style="2" customWidth="1"/>
    <col min="35" max="35" width="25.28515625" style="2" customWidth="1"/>
    <col min="36" max="36" width="17.7109375" style="2" customWidth="1"/>
    <col min="37" max="37" width="19.7109375" style="2" customWidth="1"/>
    <col min="38" max="38" width="25.28515625" style="2" customWidth="1"/>
    <col min="39" max="39" width="17.7109375" style="2" customWidth="1"/>
    <col min="40" max="40" width="19.7109375" style="2" customWidth="1"/>
    <col min="41" max="41" width="25.28515625" style="2" customWidth="1"/>
    <col min="42" max="42" width="17.7109375" style="2" customWidth="1"/>
    <col min="43" max="43" width="19.7109375" style="2" customWidth="1"/>
    <col min="44" max="44" width="25.28515625" style="2" customWidth="1"/>
    <col min="45" max="45" width="17.7109375" style="2" customWidth="1"/>
    <col min="46" max="46" width="19.7109375" style="2" customWidth="1"/>
    <col min="47" max="47" width="25.28515625" style="2" customWidth="1"/>
    <col min="48" max="48" width="17.7109375" style="2" customWidth="1"/>
    <col min="49" max="49" width="19.7109375" style="2" customWidth="1"/>
    <col min="50" max="50" width="25.28515625" style="2" customWidth="1"/>
    <col min="51" max="51" width="17.7109375" style="2" customWidth="1"/>
    <col min="52" max="52" width="19.7109375" style="2" customWidth="1"/>
    <col min="53" max="53" width="25.28515625" style="2" customWidth="1"/>
    <col min="54" max="54" width="17.7109375" style="2" customWidth="1"/>
    <col min="55" max="55" width="19.7109375" style="2" customWidth="1"/>
    <col min="56" max="16384" width="11.7109375" style="2"/>
  </cols>
  <sheetData>
    <row r="1" spans="1:55" s="1" customFormat="1" x14ac:dyDescent="0.25"/>
    <row r="2" spans="1:55" ht="32.450000000000003" customHeight="1" x14ac:dyDescent="0.25">
      <c r="B2" s="56" t="s">
        <v>57</v>
      </c>
      <c r="C2" s="56"/>
      <c r="D2" s="56"/>
      <c r="E2" s="56"/>
      <c r="F2" s="56"/>
      <c r="G2" s="56"/>
      <c r="H2" s="56"/>
      <c r="I2" s="56"/>
      <c r="J2" s="56"/>
      <c r="K2" s="52">
        <v>1</v>
      </c>
      <c r="L2" s="52"/>
      <c r="M2" s="52"/>
      <c r="N2" s="52">
        <v>2</v>
      </c>
      <c r="O2" s="52"/>
      <c r="P2" s="52"/>
      <c r="Q2" s="52">
        <v>3</v>
      </c>
      <c r="R2" s="52"/>
      <c r="S2" s="52"/>
      <c r="T2" s="52">
        <v>4</v>
      </c>
      <c r="U2" s="52"/>
      <c r="V2" s="52"/>
      <c r="W2" s="52">
        <v>5</v>
      </c>
      <c r="X2" s="52"/>
      <c r="Y2" s="52"/>
      <c r="Z2" s="52">
        <v>6</v>
      </c>
      <c r="AA2" s="52"/>
      <c r="AB2" s="52"/>
      <c r="AC2" s="52">
        <v>7</v>
      </c>
      <c r="AD2" s="52"/>
      <c r="AE2" s="52"/>
      <c r="AF2" s="52">
        <v>8</v>
      </c>
      <c r="AG2" s="52"/>
      <c r="AH2" s="52"/>
      <c r="AI2" s="52">
        <v>9</v>
      </c>
      <c r="AJ2" s="52"/>
      <c r="AK2" s="52"/>
      <c r="AL2" s="52">
        <v>10</v>
      </c>
      <c r="AM2" s="52"/>
      <c r="AN2" s="52"/>
      <c r="AO2" s="52">
        <v>11</v>
      </c>
      <c r="AP2" s="52"/>
      <c r="AQ2" s="52"/>
      <c r="AR2" s="52">
        <v>12</v>
      </c>
      <c r="AS2" s="52"/>
      <c r="AT2" s="52"/>
      <c r="AU2" s="52">
        <v>13</v>
      </c>
      <c r="AV2" s="52"/>
      <c r="AW2" s="52"/>
      <c r="AX2" s="52">
        <v>14</v>
      </c>
      <c r="AY2" s="52"/>
      <c r="AZ2" s="52"/>
      <c r="BA2" s="52">
        <v>15</v>
      </c>
      <c r="BB2" s="52"/>
      <c r="BC2" s="52"/>
    </row>
    <row r="3" spans="1:55" ht="21" x14ac:dyDescent="0.35">
      <c r="I3" s="53" t="s">
        <v>60</v>
      </c>
      <c r="J3" s="53"/>
      <c r="K3" s="53" t="s">
        <v>80</v>
      </c>
      <c r="L3" s="53"/>
      <c r="M3" s="53"/>
      <c r="N3" s="53" t="s">
        <v>81</v>
      </c>
      <c r="O3" s="53"/>
      <c r="P3" s="53"/>
      <c r="Q3" s="53" t="s">
        <v>82</v>
      </c>
      <c r="R3" s="53"/>
      <c r="S3" s="53"/>
      <c r="T3" s="53" t="s">
        <v>83</v>
      </c>
      <c r="U3" s="53"/>
      <c r="V3" s="53"/>
      <c r="W3" s="53" t="s">
        <v>84</v>
      </c>
      <c r="X3" s="53"/>
      <c r="Y3" s="53"/>
      <c r="Z3" s="53" t="s">
        <v>85</v>
      </c>
      <c r="AA3" s="53"/>
      <c r="AB3" s="53"/>
      <c r="AC3" s="53" t="s">
        <v>86</v>
      </c>
      <c r="AD3" s="53"/>
      <c r="AE3" s="53"/>
      <c r="AF3" s="53" t="s">
        <v>87</v>
      </c>
      <c r="AG3" s="53"/>
      <c r="AH3" s="53"/>
      <c r="AI3" s="53" t="s">
        <v>88</v>
      </c>
      <c r="AJ3" s="53"/>
      <c r="AK3" s="53"/>
      <c r="AL3" s="53" t="s">
        <v>89</v>
      </c>
      <c r="AM3" s="53"/>
      <c r="AN3" s="53"/>
      <c r="AO3" s="53" t="s">
        <v>90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</row>
    <row r="4" spans="1:55" ht="24" thickBot="1" x14ac:dyDescent="0.4">
      <c r="B4" s="57" t="s">
        <v>104</v>
      </c>
      <c r="C4" s="57"/>
      <c r="D4" s="57"/>
      <c r="E4" s="57"/>
      <c r="F4" s="57"/>
      <c r="G4" s="57"/>
      <c r="I4" s="54" t="s">
        <v>58</v>
      </c>
      <c r="J4" s="54"/>
      <c r="K4" s="54" t="s">
        <v>91</v>
      </c>
      <c r="L4" s="54"/>
      <c r="M4" s="54"/>
      <c r="N4" s="54" t="s">
        <v>91</v>
      </c>
      <c r="O4" s="54"/>
      <c r="P4" s="54"/>
      <c r="Q4" s="54" t="s">
        <v>91</v>
      </c>
      <c r="R4" s="54"/>
      <c r="S4" s="54"/>
      <c r="T4" s="54" t="s">
        <v>91</v>
      </c>
      <c r="U4" s="54"/>
      <c r="V4" s="54"/>
      <c r="W4" s="54" t="s">
        <v>91</v>
      </c>
      <c r="X4" s="54"/>
      <c r="Y4" s="54"/>
      <c r="Z4" s="54" t="s">
        <v>91</v>
      </c>
      <c r="AA4" s="54"/>
      <c r="AB4" s="54"/>
      <c r="AC4" s="54" t="s">
        <v>91</v>
      </c>
      <c r="AD4" s="54"/>
      <c r="AE4" s="54"/>
      <c r="AF4" s="54" t="s">
        <v>91</v>
      </c>
      <c r="AG4" s="54"/>
      <c r="AH4" s="54"/>
      <c r="AI4" s="54" t="s">
        <v>91</v>
      </c>
      <c r="AJ4" s="54"/>
      <c r="AK4" s="54"/>
      <c r="AL4" s="54" t="s">
        <v>91</v>
      </c>
      <c r="AM4" s="54"/>
      <c r="AN4" s="54"/>
      <c r="AO4" s="54" t="s">
        <v>91</v>
      </c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</row>
    <row r="5" spans="1:55" ht="21.75" thickBot="1" x14ac:dyDescent="0.3">
      <c r="B5" s="44" t="s">
        <v>74</v>
      </c>
      <c r="C5" s="31" t="s">
        <v>65</v>
      </c>
      <c r="D5" s="31" t="s">
        <v>105</v>
      </c>
      <c r="E5" s="32" t="s">
        <v>103</v>
      </c>
      <c r="F5" s="32" t="s">
        <v>66</v>
      </c>
      <c r="G5" s="32" t="s">
        <v>67</v>
      </c>
      <c r="I5" s="23" t="s">
        <v>96</v>
      </c>
      <c r="J5" s="24" t="s">
        <v>59</v>
      </c>
      <c r="K5" s="24" t="s">
        <v>61</v>
      </c>
      <c r="L5" s="24" t="s">
        <v>62</v>
      </c>
      <c r="M5" s="24" t="s">
        <v>63</v>
      </c>
      <c r="N5" s="24" t="s">
        <v>61</v>
      </c>
      <c r="O5" s="24" t="s">
        <v>62</v>
      </c>
      <c r="P5" s="24" t="s">
        <v>63</v>
      </c>
      <c r="Q5" s="24" t="s">
        <v>61</v>
      </c>
      <c r="R5" s="24" t="s">
        <v>62</v>
      </c>
      <c r="S5" s="24" t="s">
        <v>63</v>
      </c>
      <c r="T5" s="24" t="s">
        <v>61</v>
      </c>
      <c r="U5" s="24" t="s">
        <v>62</v>
      </c>
      <c r="V5" s="24" t="s">
        <v>63</v>
      </c>
      <c r="W5" s="24" t="s">
        <v>61</v>
      </c>
      <c r="X5" s="24" t="s">
        <v>62</v>
      </c>
      <c r="Y5" s="24" t="s">
        <v>63</v>
      </c>
      <c r="Z5" s="24" t="s">
        <v>61</v>
      </c>
      <c r="AA5" s="24" t="s">
        <v>62</v>
      </c>
      <c r="AB5" s="24" t="s">
        <v>63</v>
      </c>
      <c r="AC5" s="24" t="s">
        <v>61</v>
      </c>
      <c r="AD5" s="24" t="s">
        <v>62</v>
      </c>
      <c r="AE5" s="24" t="s">
        <v>63</v>
      </c>
      <c r="AF5" s="24" t="s">
        <v>61</v>
      </c>
      <c r="AG5" s="24" t="s">
        <v>62</v>
      </c>
      <c r="AH5" s="24" t="s">
        <v>63</v>
      </c>
      <c r="AI5" s="24" t="s">
        <v>61</v>
      </c>
      <c r="AJ5" s="24" t="s">
        <v>62</v>
      </c>
      <c r="AK5" s="24" t="s">
        <v>63</v>
      </c>
      <c r="AL5" s="24" t="s">
        <v>61</v>
      </c>
      <c r="AM5" s="24" t="s">
        <v>62</v>
      </c>
      <c r="AN5" s="24" t="s">
        <v>63</v>
      </c>
      <c r="AO5" s="24" t="s">
        <v>61</v>
      </c>
      <c r="AP5" s="24" t="s">
        <v>62</v>
      </c>
      <c r="AQ5" s="24" t="s">
        <v>63</v>
      </c>
      <c r="AR5" s="24" t="s">
        <v>61</v>
      </c>
      <c r="AS5" s="24" t="s">
        <v>62</v>
      </c>
      <c r="AT5" s="24" t="s">
        <v>63</v>
      </c>
      <c r="AU5" s="24" t="s">
        <v>61</v>
      </c>
      <c r="AV5" s="24" t="s">
        <v>62</v>
      </c>
      <c r="AW5" s="24" t="s">
        <v>63</v>
      </c>
      <c r="AX5" s="24" t="s">
        <v>61</v>
      </c>
      <c r="AY5" s="24" t="s">
        <v>62</v>
      </c>
      <c r="AZ5" s="24" t="s">
        <v>63</v>
      </c>
      <c r="BA5" s="24" t="s">
        <v>61</v>
      </c>
      <c r="BB5" s="24" t="s">
        <v>62</v>
      </c>
      <c r="BC5" s="24" t="s">
        <v>63</v>
      </c>
    </row>
    <row r="6" spans="1:55" s="28" customFormat="1" ht="21" x14ac:dyDescent="0.35">
      <c r="A6" s="1"/>
      <c r="B6" s="2" t="s">
        <v>68</v>
      </c>
      <c r="C6" s="29">
        <f>5*10^(-5)</f>
        <v>5.0000000000000002E-5</v>
      </c>
      <c r="D6" s="45">
        <f>5*10^-6</f>
        <v>4.9999999999999996E-6</v>
      </c>
      <c r="E6" s="29">
        <f>GW_Ksat!C5</f>
        <v>7.943300000000001E-5</v>
      </c>
      <c r="F6" s="29">
        <f>0.0000001</f>
        <v>9.9999999999999995E-8</v>
      </c>
      <c r="G6" s="29">
        <f>0.01</f>
        <v>0.01</v>
      </c>
      <c r="H6" s="2"/>
      <c r="I6" s="40">
        <v>0</v>
      </c>
      <c r="J6" s="26">
        <v>0.57413217999999999</v>
      </c>
      <c r="K6" s="26">
        <v>0.4</v>
      </c>
      <c r="L6" s="26">
        <v>5.75</v>
      </c>
      <c r="M6" s="26">
        <v>3.2142857142857144</v>
      </c>
      <c r="N6" s="26">
        <v>0.48</v>
      </c>
      <c r="O6" s="27">
        <v>5.75</v>
      </c>
      <c r="P6" s="26">
        <v>5.3571428571428568</v>
      </c>
      <c r="Q6" s="26">
        <v>0.24</v>
      </c>
      <c r="R6" s="27">
        <v>7.8409090909090908</v>
      </c>
      <c r="S6" s="26">
        <v>5.3571428571428577</v>
      </c>
      <c r="T6" s="26">
        <v>0.23</v>
      </c>
      <c r="U6" s="26">
        <v>3.6590909090909092</v>
      </c>
      <c r="V6" s="26">
        <v>5.3571428571428577</v>
      </c>
      <c r="W6" s="26">
        <v>0.01</v>
      </c>
      <c r="X6" s="27">
        <v>9.9318181818181817</v>
      </c>
      <c r="Y6" s="26">
        <v>5.3571428571428577</v>
      </c>
      <c r="Z6" s="26">
        <v>0.01</v>
      </c>
      <c r="AA6" s="27">
        <v>3.6590909090909092</v>
      </c>
      <c r="AB6" s="26">
        <v>5.3571428571428577</v>
      </c>
      <c r="AC6" s="26">
        <v>0.37</v>
      </c>
      <c r="AD6" s="26">
        <v>5.75</v>
      </c>
      <c r="AE6" s="26">
        <v>9.6428571428571423</v>
      </c>
      <c r="AF6" s="26">
        <v>0.14000000000000001</v>
      </c>
      <c r="AG6" s="27">
        <v>7.8409090909090908</v>
      </c>
      <c r="AH6" s="26">
        <v>9.6428571428571423</v>
      </c>
      <c r="AI6" s="26">
        <v>0.12</v>
      </c>
      <c r="AJ6" s="27">
        <v>3.6590909090909092</v>
      </c>
      <c r="AK6" s="26">
        <v>9.6428571428571423</v>
      </c>
      <c r="AL6" s="26">
        <v>0.24</v>
      </c>
      <c r="AM6" s="26">
        <v>5.75</v>
      </c>
      <c r="AN6" s="26">
        <v>16.071428571428573</v>
      </c>
      <c r="AO6" s="26">
        <v>0</v>
      </c>
      <c r="AP6" s="27">
        <v>7.8409090909090908</v>
      </c>
      <c r="AQ6" s="26">
        <v>16.071428571428573</v>
      </c>
      <c r="AR6" s="26">
        <v>0</v>
      </c>
      <c r="AS6" s="27">
        <v>3.6590909090909092</v>
      </c>
      <c r="AT6" s="27">
        <v>16.071428571428573</v>
      </c>
      <c r="AU6" s="26">
        <v>0.02</v>
      </c>
      <c r="AV6" s="27">
        <v>5.75</v>
      </c>
      <c r="AW6" s="27">
        <v>20.357142857142858</v>
      </c>
      <c r="AX6" s="26">
        <v>0.01</v>
      </c>
      <c r="AY6" s="27">
        <v>7.8409090909090908</v>
      </c>
      <c r="AZ6" s="26">
        <v>24.642857142857142</v>
      </c>
      <c r="BA6" s="26">
        <v>0.01</v>
      </c>
      <c r="BB6" s="27">
        <v>3.6590909090909092</v>
      </c>
      <c r="BC6" s="26">
        <v>24.642857142857142</v>
      </c>
    </row>
    <row r="7" spans="1:55" s="28" customFormat="1" ht="21" x14ac:dyDescent="0.35">
      <c r="A7" s="1"/>
      <c r="B7" s="2" t="s">
        <v>69</v>
      </c>
      <c r="C7" s="3">
        <f>10*10^(-2)</f>
        <v>0.1</v>
      </c>
      <c r="D7" s="46">
        <f>40*10^(-2)</f>
        <v>0.4</v>
      </c>
      <c r="E7" s="3">
        <f>Input_Data!F12</f>
        <v>1.76</v>
      </c>
      <c r="F7" s="3">
        <v>1</v>
      </c>
      <c r="G7" s="3">
        <v>10</v>
      </c>
      <c r="H7" s="2"/>
      <c r="I7" s="40">
        <v>60</v>
      </c>
      <c r="J7" s="26">
        <v>0.60459076499999997</v>
      </c>
      <c r="K7" s="26">
        <v>0.40500000000000003</v>
      </c>
      <c r="N7" s="26">
        <v>0.495</v>
      </c>
      <c r="Q7" s="26">
        <v>0.25</v>
      </c>
      <c r="T7" s="26">
        <v>0.245</v>
      </c>
      <c r="W7" s="26">
        <v>0.01</v>
      </c>
      <c r="Z7" s="26">
        <v>0.01</v>
      </c>
      <c r="AC7" s="26">
        <v>0.375</v>
      </c>
      <c r="AF7" s="26">
        <v>0.15</v>
      </c>
      <c r="AI7" s="26">
        <v>0.125</v>
      </c>
      <c r="AL7" s="26">
        <v>0.245</v>
      </c>
      <c r="AO7" s="26">
        <v>0</v>
      </c>
      <c r="AR7" s="26">
        <v>0</v>
      </c>
      <c r="AU7" s="26">
        <v>0.02</v>
      </c>
      <c r="AX7" s="26">
        <v>0.01</v>
      </c>
      <c r="BA7" s="26">
        <v>0.01</v>
      </c>
    </row>
    <row r="8" spans="1:55" s="28" customFormat="1" ht="21" x14ac:dyDescent="0.35">
      <c r="A8" s="1"/>
      <c r="B8" s="2" t="s">
        <v>70</v>
      </c>
      <c r="C8" s="3">
        <v>0</v>
      </c>
      <c r="D8" s="46">
        <v>0</v>
      </c>
      <c r="E8" s="3">
        <f>Input_Data!F13</f>
        <v>0.38500000000000001</v>
      </c>
      <c r="F8" s="3">
        <f>0.385</f>
        <v>0.38500000000000001</v>
      </c>
      <c r="G8" s="3">
        <f>0.385</f>
        <v>0.38500000000000001</v>
      </c>
      <c r="H8" s="2"/>
      <c r="I8" s="40">
        <v>120</v>
      </c>
      <c r="J8" s="26">
        <v>0.67896854350000002</v>
      </c>
      <c r="K8" s="26">
        <v>0.41</v>
      </c>
      <c r="N8" s="26">
        <v>0.505</v>
      </c>
      <c r="Q8" s="26">
        <v>0.26</v>
      </c>
      <c r="T8" s="26">
        <v>0.255</v>
      </c>
      <c r="W8" s="26">
        <v>0.01</v>
      </c>
      <c r="Z8" s="26">
        <v>0.01</v>
      </c>
      <c r="AC8" s="26">
        <v>0.39500000000000002</v>
      </c>
      <c r="AF8" s="26">
        <v>0.16500000000000001</v>
      </c>
      <c r="AI8" s="26">
        <v>0.13500000000000001</v>
      </c>
      <c r="AL8" s="26">
        <v>0.255</v>
      </c>
      <c r="AO8" s="26">
        <v>5.0000000000000001E-3</v>
      </c>
      <c r="AR8" s="26">
        <v>5.0000000000000001E-3</v>
      </c>
      <c r="AU8" s="26">
        <v>2.5000000000000001E-2</v>
      </c>
      <c r="AX8" s="26">
        <v>0.01</v>
      </c>
      <c r="BA8" s="26">
        <v>0.01</v>
      </c>
    </row>
    <row r="9" spans="1:55" s="28" customFormat="1" ht="21" x14ac:dyDescent="0.35">
      <c r="A9" s="1"/>
      <c r="B9" s="2" t="s">
        <v>71</v>
      </c>
      <c r="C9" s="3">
        <f>20*10^(-2)</f>
        <v>0.2</v>
      </c>
      <c r="D9" s="46">
        <f>30*10^(-2)</f>
        <v>0.3</v>
      </c>
      <c r="E9" s="3">
        <f>Input_Data!F14</f>
        <v>-2.33</v>
      </c>
      <c r="F9" s="3">
        <f>-5</f>
        <v>-5</v>
      </c>
      <c r="G9" s="3">
        <v>-1</v>
      </c>
      <c r="H9" s="2"/>
      <c r="I9" s="40">
        <v>180</v>
      </c>
      <c r="J9" s="26">
        <v>0.75881642900000001</v>
      </c>
      <c r="K9" s="26">
        <v>0.41499999999999998</v>
      </c>
      <c r="N9" s="26">
        <v>0.52500000000000002</v>
      </c>
      <c r="Q9" s="26">
        <v>0.27500000000000002</v>
      </c>
      <c r="T9" s="26">
        <v>0.27500000000000002</v>
      </c>
      <c r="W9" s="26">
        <v>0.01</v>
      </c>
      <c r="Z9" s="26">
        <v>0.01</v>
      </c>
      <c r="AC9" s="26">
        <v>0.40500000000000003</v>
      </c>
      <c r="AF9" s="26">
        <v>0.17499999999999999</v>
      </c>
      <c r="AI9" s="26">
        <v>0.155</v>
      </c>
      <c r="AL9" s="26">
        <v>0.26500000000000001</v>
      </c>
      <c r="AO9" s="26">
        <v>1.4999999999999999E-2</v>
      </c>
      <c r="AR9" s="26">
        <v>0.02</v>
      </c>
      <c r="AU9" s="26">
        <v>3.5000000000000003E-2</v>
      </c>
      <c r="AX9" s="26">
        <v>0.01</v>
      </c>
      <c r="BA9" s="26">
        <v>0.01</v>
      </c>
    </row>
    <row r="10" spans="1:55" s="28" customFormat="1" ht="21" x14ac:dyDescent="0.35">
      <c r="A10" s="1"/>
      <c r="B10" s="2" t="s">
        <v>72</v>
      </c>
      <c r="C10" s="3">
        <f>1*10^(-1)</f>
        <v>0.1</v>
      </c>
      <c r="D10" s="46">
        <f>1*10^(-3)</f>
        <v>1E-3</v>
      </c>
      <c r="E10" s="3">
        <f>Input_Data!F17</f>
        <v>0.9</v>
      </c>
      <c r="F10" s="3">
        <f>0.8</f>
        <v>0.8</v>
      </c>
      <c r="G10" s="3">
        <v>1</v>
      </c>
      <c r="H10" s="2"/>
      <c r="I10" s="40">
        <v>240</v>
      </c>
      <c r="J10" s="26">
        <v>0.78235705200000005</v>
      </c>
      <c r="K10" s="26">
        <v>0.42</v>
      </c>
      <c r="N10" s="26">
        <v>0.54</v>
      </c>
      <c r="Q10" s="26">
        <v>0.29499999999999998</v>
      </c>
      <c r="T10" s="26">
        <v>0.28499999999999998</v>
      </c>
      <c r="W10" s="26">
        <v>0.01</v>
      </c>
      <c r="Z10" s="26">
        <v>0.01</v>
      </c>
      <c r="AC10" s="26">
        <v>0.43</v>
      </c>
      <c r="AF10" s="26">
        <v>0.19500000000000001</v>
      </c>
      <c r="AI10" s="26">
        <v>0.17499999999999999</v>
      </c>
      <c r="AL10" s="26">
        <v>0.28499999999999998</v>
      </c>
      <c r="AO10" s="26">
        <v>0.03</v>
      </c>
      <c r="AR10" s="26">
        <v>3.5000000000000003E-2</v>
      </c>
      <c r="AU10" s="26">
        <v>4.4999999999999998E-2</v>
      </c>
      <c r="AX10" s="26">
        <v>0.01</v>
      </c>
      <c r="BA10" s="26">
        <v>0.01</v>
      </c>
    </row>
    <row r="11" spans="1:55" s="28" customFormat="1" ht="21.75" thickBot="1" x14ac:dyDescent="0.4">
      <c r="A11" s="1"/>
      <c r="B11" s="33" t="s">
        <v>73</v>
      </c>
      <c r="C11" s="30">
        <f>1*10^(-5)</f>
        <v>1.0000000000000001E-5</v>
      </c>
      <c r="D11" s="47">
        <f>1*10^(-6)</f>
        <v>9.9999999999999995E-7</v>
      </c>
      <c r="E11" s="30">
        <f>Input_Data!F15</f>
        <v>5.0000000000000002E-5</v>
      </c>
      <c r="F11" s="30">
        <f>0.0000001</f>
        <v>9.9999999999999995E-8</v>
      </c>
      <c r="G11" s="30">
        <f>0.01</f>
        <v>0.01</v>
      </c>
      <c r="H11" s="2"/>
      <c r="I11" s="40">
        <v>300</v>
      </c>
      <c r="J11" s="26">
        <v>0.78193504800000002</v>
      </c>
      <c r="K11" s="26">
        <v>0.43</v>
      </c>
      <c r="N11" s="26">
        <v>0.55000000000000004</v>
      </c>
      <c r="Q11" s="26">
        <v>0.30499999999999999</v>
      </c>
      <c r="T11" s="26">
        <v>0.30499999999999999</v>
      </c>
      <c r="W11" s="26">
        <v>0.01</v>
      </c>
      <c r="Z11" s="26">
        <v>0.01</v>
      </c>
      <c r="AC11" s="26">
        <v>0.45</v>
      </c>
      <c r="AF11" s="26">
        <v>0.215</v>
      </c>
      <c r="AI11" s="26">
        <v>0.19500000000000001</v>
      </c>
      <c r="AL11" s="26">
        <v>0.30499999999999999</v>
      </c>
      <c r="AO11" s="26">
        <v>4.4999999999999998E-2</v>
      </c>
      <c r="AR11" s="26">
        <v>5.5E-2</v>
      </c>
      <c r="AU11" s="26">
        <v>6.5000000000000002E-2</v>
      </c>
      <c r="AX11" s="26">
        <v>0.01</v>
      </c>
      <c r="BA11" s="26">
        <v>0.01</v>
      </c>
    </row>
    <row r="12" spans="1:55" s="28" customFormat="1" ht="21" x14ac:dyDescent="0.35">
      <c r="A12" s="1"/>
      <c r="B12" s="2"/>
      <c r="C12" s="2"/>
      <c r="D12" s="2"/>
      <c r="E12" s="2"/>
      <c r="F12" s="2">
        <f>F11*10^6</f>
        <v>9.9999999999999992E-2</v>
      </c>
      <c r="G12" s="2">
        <f>G11*10^6</f>
        <v>10000</v>
      </c>
      <c r="H12" s="2"/>
      <c r="I12" s="40">
        <v>360</v>
      </c>
      <c r="J12" s="26">
        <v>0.77513202650000002</v>
      </c>
      <c r="K12" s="26">
        <v>0.43</v>
      </c>
      <c r="N12" s="26">
        <v>0.55000000000000004</v>
      </c>
      <c r="Q12" s="26">
        <v>0.31</v>
      </c>
      <c r="T12" s="26">
        <v>0.31</v>
      </c>
      <c r="W12" s="26">
        <v>0.01</v>
      </c>
      <c r="Z12" s="26">
        <v>0.01</v>
      </c>
      <c r="AC12" s="26">
        <v>0.46</v>
      </c>
      <c r="AF12" s="26">
        <v>0.23499999999999999</v>
      </c>
      <c r="AI12" s="26">
        <v>0.20499999999999999</v>
      </c>
      <c r="AL12" s="26">
        <v>0.32500000000000001</v>
      </c>
      <c r="AO12" s="26">
        <v>6.5000000000000002E-2</v>
      </c>
      <c r="AR12" s="26">
        <v>7.4999999999999997E-2</v>
      </c>
      <c r="AU12" s="26">
        <v>0.09</v>
      </c>
      <c r="AX12" s="26">
        <v>0.01</v>
      </c>
      <c r="BA12" s="26">
        <v>0.01</v>
      </c>
    </row>
    <row r="13" spans="1:55" s="28" customFormat="1" ht="23.25" x14ac:dyDescent="0.35">
      <c r="A13" s="1"/>
      <c r="B13" s="25" t="s">
        <v>98</v>
      </c>
      <c r="E13" s="2"/>
      <c r="F13" s="2"/>
      <c r="G13" s="2"/>
      <c r="H13" s="2"/>
      <c r="I13" s="40">
        <v>420</v>
      </c>
      <c r="J13" s="26">
        <v>0.76615506150000001</v>
      </c>
      <c r="K13" s="26">
        <v>0.43</v>
      </c>
      <c r="N13" s="26">
        <v>0.55000000000000004</v>
      </c>
      <c r="Q13" s="26">
        <v>0.31</v>
      </c>
      <c r="T13" s="26">
        <v>0.31</v>
      </c>
      <c r="W13" s="26">
        <v>0.01</v>
      </c>
      <c r="Z13" s="26">
        <v>0.01</v>
      </c>
      <c r="AC13" s="26">
        <v>0.46</v>
      </c>
      <c r="AF13" s="26">
        <v>0.24</v>
      </c>
      <c r="AI13" s="26">
        <v>0.21</v>
      </c>
      <c r="AL13" s="26">
        <v>0.33500000000000002</v>
      </c>
      <c r="AO13" s="26">
        <v>0.08</v>
      </c>
      <c r="AR13" s="26">
        <v>0.09</v>
      </c>
      <c r="AU13" s="26">
        <v>0.11</v>
      </c>
      <c r="AX13" s="26">
        <v>0.01</v>
      </c>
      <c r="BA13" s="26">
        <v>0.01</v>
      </c>
    </row>
    <row r="14" spans="1:55" s="28" customFormat="1" ht="21.75" thickBot="1" x14ac:dyDescent="0.4">
      <c r="A14" s="1"/>
      <c r="E14" s="2"/>
      <c r="F14" s="2"/>
      <c r="G14" s="2"/>
      <c r="H14" s="2"/>
      <c r="I14" s="40">
        <v>480</v>
      </c>
      <c r="J14" s="26">
        <v>0.75643203299999995</v>
      </c>
      <c r="K14" s="26">
        <v>0.42</v>
      </c>
      <c r="N14" s="26">
        <v>0.55000000000000004</v>
      </c>
      <c r="Q14" s="26">
        <v>0.31</v>
      </c>
      <c r="T14" s="26">
        <v>0.30499999999999999</v>
      </c>
      <c r="W14" s="26">
        <v>0.01</v>
      </c>
      <c r="Z14" s="26">
        <v>0.01</v>
      </c>
      <c r="AC14" s="26">
        <v>0.46</v>
      </c>
      <c r="AF14" s="26">
        <v>0.24</v>
      </c>
      <c r="AI14" s="26">
        <v>0.21</v>
      </c>
      <c r="AL14" s="26">
        <v>0.34</v>
      </c>
      <c r="AO14" s="26">
        <v>0.09</v>
      </c>
      <c r="AR14" s="26">
        <v>0.1</v>
      </c>
      <c r="AU14" s="26">
        <v>0.125</v>
      </c>
      <c r="AX14" s="26">
        <v>0.01</v>
      </c>
      <c r="BA14" s="26">
        <v>0.01</v>
      </c>
    </row>
    <row r="15" spans="1:55" s="28" customFormat="1" ht="21" x14ac:dyDescent="0.35">
      <c r="A15" s="1"/>
      <c r="B15" s="28" t="s">
        <v>97</v>
      </c>
      <c r="C15" s="38">
        <v>400</v>
      </c>
      <c r="D15" s="41" t="s">
        <v>102</v>
      </c>
      <c r="F15" s="2"/>
      <c r="G15" s="2"/>
      <c r="H15" s="2"/>
      <c r="I15" s="40">
        <v>540</v>
      </c>
      <c r="J15" s="26">
        <v>0.74576839650000004</v>
      </c>
      <c r="K15" s="26">
        <v>0.42</v>
      </c>
      <c r="N15" s="26">
        <v>0.55000000000000004</v>
      </c>
      <c r="Q15" s="26">
        <v>0.31</v>
      </c>
      <c r="T15" s="26">
        <v>0.3</v>
      </c>
      <c r="W15" s="26">
        <v>0.01</v>
      </c>
      <c r="Z15" s="26">
        <v>0.01</v>
      </c>
      <c r="AC15" s="26">
        <v>0.46</v>
      </c>
      <c r="AF15" s="26">
        <v>0.24</v>
      </c>
      <c r="AI15" s="26">
        <v>0.21</v>
      </c>
      <c r="AL15" s="26">
        <v>0.34499999999999997</v>
      </c>
      <c r="AO15" s="26">
        <v>9.5000000000000001E-2</v>
      </c>
      <c r="AR15" s="26">
        <v>0.105</v>
      </c>
      <c r="AU15" s="26">
        <v>0.13</v>
      </c>
      <c r="AX15" s="26">
        <v>0.01</v>
      </c>
      <c r="BA15" s="26">
        <v>0.01</v>
      </c>
    </row>
    <row r="16" spans="1:55" s="28" customFormat="1" ht="21.75" thickBot="1" x14ac:dyDescent="0.4">
      <c r="A16" s="1"/>
      <c r="D16" s="42"/>
      <c r="H16" s="2"/>
      <c r="I16" s="40">
        <v>600</v>
      </c>
      <c r="J16" s="26">
        <v>0.74192314349999999</v>
      </c>
      <c r="K16" s="26">
        <v>0.42499999999999999</v>
      </c>
      <c r="N16" s="26">
        <v>0.55000000000000004</v>
      </c>
      <c r="Q16" s="26">
        <v>0.31</v>
      </c>
      <c r="T16" s="26">
        <v>0.30499999999999999</v>
      </c>
      <c r="W16" s="26">
        <v>0.01</v>
      </c>
      <c r="Z16" s="26">
        <v>0.01</v>
      </c>
      <c r="AC16" s="26">
        <v>0.46</v>
      </c>
      <c r="AF16" s="26">
        <v>0.24</v>
      </c>
      <c r="AI16" s="26">
        <v>0.215</v>
      </c>
      <c r="AL16" s="26">
        <v>0.35</v>
      </c>
      <c r="AO16" s="26">
        <v>0.1</v>
      </c>
      <c r="AR16" s="26">
        <v>0.11</v>
      </c>
      <c r="AU16" s="26">
        <v>0.14000000000000001</v>
      </c>
      <c r="AX16" s="26">
        <v>0.01</v>
      </c>
      <c r="BA16" s="26">
        <v>0.01</v>
      </c>
    </row>
    <row r="17" spans="1:53" s="28" customFormat="1" ht="21" x14ac:dyDescent="0.35">
      <c r="A17" s="1"/>
      <c r="B17" s="28" t="s">
        <v>95</v>
      </c>
      <c r="C17" s="38">
        <v>1</v>
      </c>
      <c r="D17" s="42"/>
      <c r="H17" s="2"/>
      <c r="I17" s="40">
        <v>660</v>
      </c>
      <c r="J17" s="26">
        <v>0.79188132450000004</v>
      </c>
      <c r="K17" s="26">
        <v>0.43</v>
      </c>
      <c r="N17" s="26">
        <v>0.56499999999999995</v>
      </c>
      <c r="Q17" s="26">
        <v>0.32</v>
      </c>
      <c r="T17" s="26">
        <v>0.315</v>
      </c>
      <c r="W17" s="26">
        <v>0.01</v>
      </c>
      <c r="Z17" s="26">
        <v>0.01</v>
      </c>
      <c r="AC17" s="26">
        <v>0.47499999999999998</v>
      </c>
      <c r="AF17" s="26">
        <v>0.255</v>
      </c>
      <c r="AI17" s="26">
        <v>0.22500000000000001</v>
      </c>
      <c r="AL17" s="26">
        <v>0.36499999999999999</v>
      </c>
      <c r="AO17" s="26">
        <v>0.115</v>
      </c>
      <c r="AR17" s="26">
        <v>0.125</v>
      </c>
      <c r="AU17" s="26">
        <v>0.155</v>
      </c>
      <c r="AX17" s="26">
        <v>0.01</v>
      </c>
      <c r="BA17" s="26">
        <v>0.01</v>
      </c>
    </row>
    <row r="18" spans="1:53" s="28" customFormat="1" ht="21.75" thickBot="1" x14ac:dyDescent="0.4">
      <c r="A18" s="1"/>
      <c r="D18" s="42"/>
      <c r="H18" s="2"/>
      <c r="I18" s="40">
        <v>720</v>
      </c>
      <c r="J18" s="26">
        <v>0.88600638350000005</v>
      </c>
      <c r="K18" s="26">
        <v>0.44</v>
      </c>
      <c r="N18" s="26">
        <v>0.58499999999999996</v>
      </c>
      <c r="Q18" s="26">
        <v>0.33500000000000002</v>
      </c>
      <c r="T18" s="26">
        <v>0.33500000000000002</v>
      </c>
      <c r="W18" s="26">
        <v>0.01</v>
      </c>
      <c r="Z18" s="26">
        <v>0.01</v>
      </c>
      <c r="AC18" s="26">
        <v>0.495</v>
      </c>
      <c r="AF18" s="26">
        <v>0.27500000000000002</v>
      </c>
      <c r="AI18" s="26">
        <v>0.245</v>
      </c>
      <c r="AL18" s="26">
        <v>0.39</v>
      </c>
      <c r="AO18" s="26">
        <v>0.13500000000000001</v>
      </c>
      <c r="AR18" s="26">
        <v>0.15</v>
      </c>
      <c r="AU18" s="26">
        <v>0.17499999999999999</v>
      </c>
      <c r="AX18" s="26">
        <v>0.01</v>
      </c>
      <c r="BA18" s="26">
        <v>0.01</v>
      </c>
    </row>
    <row r="19" spans="1:53" s="28" customFormat="1" ht="21" x14ac:dyDescent="0.35">
      <c r="A19" s="1"/>
      <c r="B19" s="28" t="s">
        <v>99</v>
      </c>
      <c r="C19" s="37">
        <v>0.05</v>
      </c>
      <c r="D19" s="42" t="s">
        <v>100</v>
      </c>
      <c r="H19" s="2"/>
      <c r="I19" s="40">
        <v>780</v>
      </c>
      <c r="J19" s="26">
        <v>0.99378014749999999</v>
      </c>
      <c r="K19" s="26">
        <v>0.45</v>
      </c>
      <c r="N19" s="26">
        <v>0.60499999999999998</v>
      </c>
      <c r="Q19" s="26">
        <v>0.36</v>
      </c>
      <c r="T19" s="26">
        <v>0.36</v>
      </c>
      <c r="W19" s="26">
        <v>0.01</v>
      </c>
      <c r="Z19" s="26">
        <v>0.01</v>
      </c>
      <c r="AC19" s="26">
        <v>0.52500000000000002</v>
      </c>
      <c r="AF19" s="26">
        <v>0.29499999999999998</v>
      </c>
      <c r="AI19" s="26">
        <v>0.27</v>
      </c>
      <c r="AL19" s="26">
        <v>0.42</v>
      </c>
      <c r="AO19" s="26">
        <v>0.16500000000000001</v>
      </c>
      <c r="AR19" s="26">
        <v>0.18</v>
      </c>
      <c r="AU19" s="26">
        <v>0.20499999999999999</v>
      </c>
      <c r="AX19" s="26">
        <v>0.01</v>
      </c>
      <c r="BA19" s="26">
        <v>0.01</v>
      </c>
    </row>
    <row r="20" spans="1:53" s="28" customFormat="1" ht="21.75" thickBot="1" x14ac:dyDescent="0.4">
      <c r="A20" s="1"/>
      <c r="D20" s="42"/>
      <c r="H20" s="2"/>
      <c r="I20" s="40">
        <v>840</v>
      </c>
      <c r="J20" s="26">
        <v>1.0350145260000001</v>
      </c>
      <c r="K20" s="26">
        <v>0.46</v>
      </c>
      <c r="N20" s="26">
        <v>0.63</v>
      </c>
      <c r="Q20" s="26">
        <v>0.38500000000000001</v>
      </c>
      <c r="T20" s="26">
        <v>0.38500000000000001</v>
      </c>
      <c r="W20" s="26">
        <v>0.01</v>
      </c>
      <c r="Z20" s="26">
        <v>0.02</v>
      </c>
      <c r="AC20" s="26">
        <v>0.55000000000000004</v>
      </c>
      <c r="AF20" s="26">
        <v>0.32500000000000001</v>
      </c>
      <c r="AI20" s="26">
        <v>0.3</v>
      </c>
      <c r="AL20" s="26">
        <v>0.46</v>
      </c>
      <c r="AO20" s="26">
        <v>0.2</v>
      </c>
      <c r="AR20" s="26">
        <v>0.22</v>
      </c>
      <c r="AU20" s="26">
        <v>0.24</v>
      </c>
      <c r="AX20" s="26">
        <v>1.4999999999999999E-2</v>
      </c>
      <c r="BA20" s="26">
        <v>2.5000000000000001E-2</v>
      </c>
    </row>
    <row r="21" spans="1:53" s="28" customFormat="1" ht="21" x14ac:dyDescent="0.35">
      <c r="A21" s="1"/>
      <c r="B21" s="28" t="s">
        <v>101</v>
      </c>
      <c r="C21" s="48">
        <v>2.5000000000000001E-2</v>
      </c>
      <c r="D21" s="42" t="s">
        <v>5</v>
      </c>
      <c r="H21" s="2"/>
      <c r="I21" s="40">
        <v>900</v>
      </c>
      <c r="J21" s="26">
        <v>1.034958182</v>
      </c>
      <c r="K21" s="26">
        <v>0.47</v>
      </c>
      <c r="N21" s="26">
        <v>0.64500000000000002</v>
      </c>
      <c r="Q21" s="26">
        <v>0.40500000000000003</v>
      </c>
      <c r="T21" s="26">
        <v>0.40500000000000003</v>
      </c>
      <c r="W21" s="26">
        <v>0.01</v>
      </c>
      <c r="Z21" s="26">
        <v>3.5000000000000003E-2</v>
      </c>
      <c r="AC21" s="26">
        <v>0.57499999999999996</v>
      </c>
      <c r="AF21" s="26">
        <v>0.35499999999999998</v>
      </c>
      <c r="AI21" s="26">
        <v>0.33</v>
      </c>
      <c r="AL21" s="26">
        <v>0.495</v>
      </c>
      <c r="AO21" s="26">
        <v>0.23499999999999999</v>
      </c>
      <c r="AR21" s="26">
        <v>0.26</v>
      </c>
      <c r="AU21" s="26">
        <v>0.28000000000000003</v>
      </c>
      <c r="AX21" s="26">
        <v>2.5000000000000001E-2</v>
      </c>
      <c r="BA21" s="26">
        <v>4.4999999999999998E-2</v>
      </c>
    </row>
    <row r="22" spans="1:53" s="28" customFormat="1" ht="21" x14ac:dyDescent="0.35">
      <c r="A22" s="1"/>
      <c r="H22" s="2"/>
      <c r="I22" s="40">
        <v>960</v>
      </c>
      <c r="J22" s="26">
        <v>1.0236379885</v>
      </c>
      <c r="K22" s="26">
        <v>0.47</v>
      </c>
      <c r="N22" s="26">
        <v>0.66</v>
      </c>
      <c r="Q22" s="26">
        <v>0.42499999999999999</v>
      </c>
      <c r="T22" s="26">
        <v>0.42</v>
      </c>
      <c r="W22" s="26">
        <v>1.4999999999999999E-2</v>
      </c>
      <c r="Z22" s="26">
        <v>4.4999999999999998E-2</v>
      </c>
      <c r="AC22" s="26">
        <v>0.59499999999999997</v>
      </c>
      <c r="AF22" s="26">
        <v>0.375</v>
      </c>
      <c r="AI22" s="26">
        <v>0.35499999999999998</v>
      </c>
      <c r="AL22" s="26">
        <v>0.52500000000000002</v>
      </c>
      <c r="AO22" s="26">
        <v>0.27</v>
      </c>
      <c r="AR22" s="26">
        <v>0.29499999999999998</v>
      </c>
      <c r="AU22" s="26">
        <v>0.315</v>
      </c>
      <c r="AX22" s="26">
        <v>4.4999999999999998E-2</v>
      </c>
      <c r="BA22" s="26">
        <v>6.5000000000000002E-2</v>
      </c>
    </row>
    <row r="23" spans="1:53" s="28" customFormat="1" ht="21" x14ac:dyDescent="0.35">
      <c r="A23" s="1"/>
      <c r="B23" s="55" t="s">
        <v>94</v>
      </c>
      <c r="C23" s="55"/>
      <c r="D23" s="43"/>
      <c r="H23" s="2"/>
      <c r="I23" s="40">
        <v>1020</v>
      </c>
      <c r="J23" s="26">
        <v>1.007662029</v>
      </c>
      <c r="K23" s="26">
        <v>0.47499999999999998</v>
      </c>
      <c r="N23" s="26">
        <v>0.67</v>
      </c>
      <c r="Q23" s="26">
        <v>0.435</v>
      </c>
      <c r="T23" s="26">
        <v>0.43</v>
      </c>
      <c r="W23" s="26">
        <v>0.02</v>
      </c>
      <c r="Z23" s="26">
        <v>6.5000000000000002E-2</v>
      </c>
      <c r="AC23" s="26">
        <v>0.61</v>
      </c>
      <c r="AF23" s="26">
        <v>0.39500000000000002</v>
      </c>
      <c r="AI23" s="26">
        <v>0.37</v>
      </c>
      <c r="AL23" s="26">
        <v>0.55500000000000005</v>
      </c>
      <c r="AO23" s="26">
        <v>0.29499999999999998</v>
      </c>
      <c r="AR23" s="26">
        <v>0.315</v>
      </c>
      <c r="AU23" s="26">
        <v>0.34499999999999997</v>
      </c>
      <c r="AX23" s="26">
        <v>6.5000000000000002E-2</v>
      </c>
      <c r="BA23" s="26">
        <v>9.5000000000000001E-2</v>
      </c>
    </row>
    <row r="24" spans="1:53" s="28" customFormat="1" ht="21.75" thickBot="1" x14ac:dyDescent="0.4">
      <c r="A24" s="1"/>
      <c r="B24" s="2" t="s">
        <v>92</v>
      </c>
      <c r="C24" s="28" t="s">
        <v>93</v>
      </c>
      <c r="H24" s="2"/>
      <c r="I24" s="40">
        <v>1080</v>
      </c>
      <c r="J24" s="26">
        <v>0.99335435100000002</v>
      </c>
      <c r="K24" s="26">
        <v>0.48</v>
      </c>
      <c r="N24" s="26">
        <v>0.67500000000000004</v>
      </c>
      <c r="Q24" s="26">
        <v>0.44500000000000001</v>
      </c>
      <c r="T24" s="26">
        <v>0.44</v>
      </c>
      <c r="W24" s="26">
        <v>0.02</v>
      </c>
      <c r="Z24" s="26">
        <v>7.4999999999999997E-2</v>
      </c>
      <c r="AC24" s="26">
        <v>0.62</v>
      </c>
      <c r="AF24" s="26">
        <v>0.40500000000000003</v>
      </c>
      <c r="AI24" s="26">
        <v>0.38</v>
      </c>
      <c r="AL24" s="26">
        <v>0.57499999999999996</v>
      </c>
      <c r="AO24" s="26">
        <v>0.32500000000000001</v>
      </c>
      <c r="AR24" s="26">
        <v>0.33500000000000002</v>
      </c>
      <c r="AU24" s="26">
        <v>0.37</v>
      </c>
      <c r="AX24" s="26">
        <v>8.5000000000000006E-2</v>
      </c>
      <c r="BA24" s="26">
        <v>0.115</v>
      </c>
    </row>
    <row r="25" spans="1:53" s="28" customFormat="1" ht="21" x14ac:dyDescent="0.35">
      <c r="A25" s="1"/>
      <c r="B25" s="2">
        <v>1</v>
      </c>
      <c r="C25" s="34">
        <v>0</v>
      </c>
      <c r="D25" s="42"/>
      <c r="H25" s="2"/>
      <c r="I25" s="40">
        <v>1140</v>
      </c>
      <c r="J25" s="26">
        <v>0.98036869250000003</v>
      </c>
      <c r="K25" s="26">
        <v>0.48</v>
      </c>
      <c r="N25" s="26">
        <v>0.68</v>
      </c>
      <c r="Q25" s="26">
        <v>0.45</v>
      </c>
      <c r="T25" s="26">
        <v>0.44</v>
      </c>
      <c r="W25" s="26">
        <v>0.03</v>
      </c>
      <c r="Z25" s="26">
        <v>0.08</v>
      </c>
      <c r="AC25" s="26">
        <v>0.63</v>
      </c>
      <c r="AF25" s="26">
        <v>0.41499999999999998</v>
      </c>
      <c r="AI25" s="26">
        <v>0.39</v>
      </c>
      <c r="AL25" s="26">
        <v>0.58499999999999996</v>
      </c>
      <c r="AO25" s="26">
        <v>0.34</v>
      </c>
      <c r="AR25" s="26">
        <v>0.35499999999999998</v>
      </c>
      <c r="AU25" s="26">
        <v>0.39500000000000002</v>
      </c>
      <c r="AX25" s="26">
        <v>0.105</v>
      </c>
      <c r="BA25" s="26">
        <v>0.13500000000000001</v>
      </c>
    </row>
    <row r="26" spans="1:53" s="28" customFormat="1" ht="21" x14ac:dyDescent="0.35">
      <c r="A26" s="1"/>
      <c r="B26" s="2">
        <v>2</v>
      </c>
      <c r="C26" s="49">
        <v>1</v>
      </c>
      <c r="D26" s="42"/>
      <c r="H26" s="2"/>
      <c r="I26" s="40">
        <v>1200</v>
      </c>
      <c r="J26" s="26">
        <v>0.96869535650000005</v>
      </c>
      <c r="K26" s="26">
        <v>0.48</v>
      </c>
      <c r="N26" s="26">
        <v>0.68</v>
      </c>
      <c r="Q26" s="26">
        <v>0.46</v>
      </c>
      <c r="T26" s="26">
        <v>0.45</v>
      </c>
      <c r="W26" s="26">
        <v>2.5000000000000001E-2</v>
      </c>
      <c r="Z26" s="26">
        <v>0.09</v>
      </c>
      <c r="AC26" s="26">
        <v>0.64</v>
      </c>
      <c r="AF26" s="26">
        <v>0.42</v>
      </c>
      <c r="AI26" s="26">
        <v>0.4</v>
      </c>
      <c r="AL26" s="26">
        <v>0.60499999999999998</v>
      </c>
      <c r="AO26" s="26">
        <v>0.35499999999999998</v>
      </c>
      <c r="AR26" s="26">
        <v>0.36499999999999999</v>
      </c>
      <c r="AU26" s="26">
        <v>0.41499999999999998</v>
      </c>
      <c r="AX26" s="26">
        <v>0.11</v>
      </c>
      <c r="BA26" s="26">
        <v>0.15</v>
      </c>
    </row>
    <row r="27" spans="1:53" s="28" customFormat="1" ht="21" x14ac:dyDescent="0.35">
      <c r="A27" s="1"/>
      <c r="B27" s="2">
        <v>3</v>
      </c>
      <c r="C27" s="35">
        <v>0</v>
      </c>
      <c r="D27" s="42"/>
      <c r="H27" s="2"/>
      <c r="I27" s="40">
        <v>1260</v>
      </c>
      <c r="J27" s="26">
        <v>0.95466242050000005</v>
      </c>
      <c r="K27" s="26">
        <v>0.48</v>
      </c>
      <c r="N27" s="26">
        <v>0.69</v>
      </c>
      <c r="Q27" s="26">
        <v>0.46</v>
      </c>
      <c r="T27" s="26">
        <v>0.45</v>
      </c>
      <c r="W27" s="26">
        <v>0.02</v>
      </c>
      <c r="Z27" s="26">
        <v>0.09</v>
      </c>
      <c r="AC27" s="26">
        <v>0.64</v>
      </c>
      <c r="AF27" s="26">
        <v>0.42499999999999999</v>
      </c>
      <c r="AI27" s="26">
        <v>0.4</v>
      </c>
      <c r="AL27" s="26">
        <v>0.61499999999999999</v>
      </c>
      <c r="AO27" s="26">
        <v>0.36499999999999999</v>
      </c>
      <c r="AR27" s="26">
        <v>0.375</v>
      </c>
      <c r="AU27" s="26">
        <v>0.43</v>
      </c>
      <c r="AX27" s="26">
        <v>0.11</v>
      </c>
      <c r="BA27" s="26">
        <v>0.155</v>
      </c>
    </row>
    <row r="28" spans="1:53" s="28" customFormat="1" ht="21" x14ac:dyDescent="0.35">
      <c r="A28" s="1"/>
      <c r="B28" s="2">
        <v>4</v>
      </c>
      <c r="C28" s="35">
        <v>0</v>
      </c>
      <c r="D28" s="42"/>
      <c r="H28" s="2"/>
      <c r="I28" s="40">
        <v>1320</v>
      </c>
      <c r="J28" s="26">
        <v>0.943438781</v>
      </c>
      <c r="K28" s="26">
        <v>0.48</v>
      </c>
      <c r="N28" s="26">
        <v>0.69</v>
      </c>
      <c r="Q28" s="26">
        <v>0.46</v>
      </c>
      <c r="T28" s="26">
        <v>0.45</v>
      </c>
      <c r="W28" s="26">
        <v>1.4999999999999999E-2</v>
      </c>
      <c r="Z28" s="26">
        <v>8.5000000000000006E-2</v>
      </c>
      <c r="AC28" s="26">
        <v>0.65</v>
      </c>
      <c r="AF28" s="26">
        <v>0.43</v>
      </c>
      <c r="AI28" s="26">
        <v>0.41</v>
      </c>
      <c r="AL28" s="26">
        <v>0.625</v>
      </c>
      <c r="AO28" s="26">
        <v>0.375</v>
      </c>
      <c r="AR28" s="26">
        <v>0.38500000000000001</v>
      </c>
      <c r="AU28" s="26">
        <v>0.44500000000000001</v>
      </c>
      <c r="AX28" s="26">
        <v>0.11</v>
      </c>
      <c r="BA28" s="26">
        <v>0.16</v>
      </c>
    </row>
    <row r="29" spans="1:53" s="28" customFormat="1" ht="21" x14ac:dyDescent="0.35">
      <c r="A29" s="1"/>
      <c r="B29" s="2">
        <v>5</v>
      </c>
      <c r="C29" s="35">
        <v>0</v>
      </c>
      <c r="D29" s="42"/>
      <c r="H29" s="2"/>
      <c r="I29" s="40">
        <v>1380</v>
      </c>
      <c r="J29" s="26">
        <v>0.932759381</v>
      </c>
      <c r="K29" s="26">
        <v>0.48</v>
      </c>
      <c r="N29" s="26">
        <v>0.69</v>
      </c>
      <c r="Q29" s="26">
        <v>0.46500000000000002</v>
      </c>
      <c r="T29" s="26">
        <v>0.45</v>
      </c>
      <c r="W29" s="26">
        <v>0.01</v>
      </c>
      <c r="Z29" s="26">
        <v>0.08</v>
      </c>
      <c r="AC29" s="26">
        <v>0.65</v>
      </c>
      <c r="AF29" s="26">
        <v>0.43</v>
      </c>
      <c r="AI29" s="26">
        <v>0.41</v>
      </c>
      <c r="AL29" s="26">
        <v>0.63</v>
      </c>
      <c r="AO29" s="26">
        <v>0.38</v>
      </c>
      <c r="AR29" s="26">
        <v>0.39</v>
      </c>
      <c r="AU29" s="26">
        <v>0.45500000000000002</v>
      </c>
      <c r="AX29" s="26">
        <v>0.11</v>
      </c>
      <c r="BA29" s="26">
        <v>0.16</v>
      </c>
    </row>
    <row r="30" spans="1:53" s="28" customFormat="1" ht="21" x14ac:dyDescent="0.35">
      <c r="A30" s="1"/>
      <c r="B30" s="2">
        <v>6</v>
      </c>
      <c r="C30" s="35">
        <v>0</v>
      </c>
      <c r="D30" s="42"/>
      <c r="H30" s="2"/>
      <c r="I30" s="40">
        <v>1440</v>
      </c>
      <c r="J30" s="26">
        <v>0.9240557425</v>
      </c>
      <c r="K30" s="26">
        <v>0.48499999999999999</v>
      </c>
      <c r="N30" s="26">
        <v>0.69</v>
      </c>
      <c r="Q30" s="26">
        <v>0.47</v>
      </c>
      <c r="T30" s="26">
        <v>0.46</v>
      </c>
      <c r="W30" s="26">
        <v>5.0000000000000001E-3</v>
      </c>
      <c r="Z30" s="26">
        <v>0.08</v>
      </c>
      <c r="AC30" s="26">
        <v>0.65</v>
      </c>
      <c r="AF30" s="26">
        <v>0.44</v>
      </c>
      <c r="AI30" s="26">
        <v>0.41</v>
      </c>
      <c r="AL30" s="26">
        <v>0.64</v>
      </c>
      <c r="AO30" s="26">
        <v>0.39</v>
      </c>
      <c r="AR30" s="26">
        <v>0.4</v>
      </c>
      <c r="AU30" s="26">
        <v>0.46500000000000002</v>
      </c>
      <c r="AX30" s="26">
        <v>0.105</v>
      </c>
      <c r="BA30" s="26">
        <v>0.16</v>
      </c>
    </row>
    <row r="31" spans="1:53" s="28" customFormat="1" ht="21" x14ac:dyDescent="0.35">
      <c r="A31" s="1"/>
      <c r="B31" s="2">
        <v>7</v>
      </c>
      <c r="C31" s="49">
        <v>1</v>
      </c>
      <c r="D31" s="42"/>
      <c r="H31" s="2"/>
      <c r="I31" s="40">
        <v>1500</v>
      </c>
      <c r="J31" s="26">
        <v>0.91368321050000001</v>
      </c>
      <c r="K31" s="26">
        <v>0.49</v>
      </c>
      <c r="N31" s="26">
        <v>0.69</v>
      </c>
      <c r="Q31" s="26">
        <v>0.47</v>
      </c>
      <c r="T31" s="26">
        <v>0.46</v>
      </c>
      <c r="W31" s="26">
        <v>0</v>
      </c>
      <c r="Z31" s="26">
        <v>7.4999999999999997E-2</v>
      </c>
      <c r="AC31" s="26">
        <v>0.66</v>
      </c>
      <c r="AF31" s="26">
        <v>0.44</v>
      </c>
      <c r="AI31" s="26">
        <v>0.41</v>
      </c>
      <c r="AL31" s="26">
        <v>0.64</v>
      </c>
      <c r="AO31" s="26">
        <v>0.39</v>
      </c>
      <c r="AR31" s="26">
        <v>0.4</v>
      </c>
      <c r="AU31" s="26">
        <v>0.47</v>
      </c>
      <c r="AX31" s="26">
        <v>0.1</v>
      </c>
      <c r="BA31" s="26">
        <v>0.16</v>
      </c>
    </row>
    <row r="32" spans="1:53" s="28" customFormat="1" ht="21" x14ac:dyDescent="0.35">
      <c r="A32" s="1"/>
      <c r="B32" s="2">
        <v>8</v>
      </c>
      <c r="C32" s="35">
        <v>0</v>
      </c>
      <c r="D32" s="42"/>
      <c r="H32" s="2"/>
      <c r="I32" s="40">
        <v>1560</v>
      </c>
      <c r="J32" s="26">
        <v>0.90534947099999996</v>
      </c>
      <c r="K32" s="26">
        <v>0.49</v>
      </c>
      <c r="N32" s="26">
        <v>0.69499999999999995</v>
      </c>
      <c r="Q32" s="26">
        <v>0.47</v>
      </c>
      <c r="T32" s="26">
        <v>0.46</v>
      </c>
      <c r="W32" s="26">
        <v>0</v>
      </c>
      <c r="Z32" s="26">
        <v>7.0000000000000007E-2</v>
      </c>
      <c r="AC32" s="26">
        <v>0.66</v>
      </c>
      <c r="AF32" s="26">
        <v>0.44</v>
      </c>
      <c r="AI32" s="26">
        <v>0.41</v>
      </c>
      <c r="AL32" s="26">
        <v>0.65</v>
      </c>
      <c r="AO32" s="26">
        <v>0.4</v>
      </c>
      <c r="AR32" s="26">
        <v>0.41</v>
      </c>
      <c r="AU32" s="26">
        <v>0.47</v>
      </c>
      <c r="AX32" s="26">
        <v>0.1</v>
      </c>
      <c r="BA32" s="26">
        <v>0.155</v>
      </c>
    </row>
    <row r="33" spans="1:53" s="28" customFormat="1" ht="21" x14ac:dyDescent="0.35">
      <c r="A33" s="1"/>
      <c r="B33" s="2">
        <v>9</v>
      </c>
      <c r="C33" s="35">
        <v>0</v>
      </c>
      <c r="D33" s="42"/>
      <c r="H33" s="2"/>
      <c r="I33" s="40">
        <v>1620</v>
      </c>
      <c r="J33" s="26">
        <v>0.8952070405</v>
      </c>
      <c r="K33" s="26">
        <v>0.49</v>
      </c>
      <c r="N33" s="26">
        <v>0.7</v>
      </c>
      <c r="Q33" s="26">
        <v>0.47</v>
      </c>
      <c r="T33" s="26">
        <v>0.46</v>
      </c>
      <c r="W33" s="26">
        <v>0</v>
      </c>
      <c r="Z33" s="26">
        <v>7.0000000000000007E-2</v>
      </c>
      <c r="AC33" s="26">
        <v>0.66</v>
      </c>
      <c r="AF33" s="26">
        <v>0.44</v>
      </c>
      <c r="AI33" s="26">
        <v>0.41</v>
      </c>
      <c r="AL33" s="26">
        <v>0.65</v>
      </c>
      <c r="AO33" s="26">
        <v>0.4</v>
      </c>
      <c r="AR33" s="26">
        <v>0.41</v>
      </c>
      <c r="AU33" s="26">
        <v>0.48</v>
      </c>
      <c r="AX33" s="26">
        <v>0.1</v>
      </c>
      <c r="BA33" s="26">
        <v>0.15</v>
      </c>
    </row>
    <row r="34" spans="1:53" s="28" customFormat="1" ht="21" x14ac:dyDescent="0.35">
      <c r="A34" s="1"/>
      <c r="B34" s="2">
        <v>10</v>
      </c>
      <c r="C34" s="49">
        <v>1</v>
      </c>
      <c r="D34" s="42"/>
      <c r="H34" s="2"/>
      <c r="I34" s="40">
        <v>1680</v>
      </c>
      <c r="J34" s="26">
        <v>0.8908892625</v>
      </c>
      <c r="K34" s="26">
        <v>0.49</v>
      </c>
      <c r="N34" s="26">
        <v>0.69499999999999995</v>
      </c>
      <c r="Q34" s="26">
        <v>0.47</v>
      </c>
      <c r="T34" s="26">
        <v>0.46</v>
      </c>
      <c r="W34" s="26">
        <v>0</v>
      </c>
      <c r="Z34" s="26">
        <v>6.5000000000000002E-2</v>
      </c>
      <c r="AC34" s="26">
        <v>0.66</v>
      </c>
      <c r="AF34" s="26">
        <v>0.44</v>
      </c>
      <c r="AI34" s="26">
        <v>0.41</v>
      </c>
      <c r="AL34" s="26">
        <v>0.65500000000000003</v>
      </c>
      <c r="AO34" s="26">
        <v>0.4</v>
      </c>
      <c r="AR34" s="26">
        <v>0.41</v>
      </c>
      <c r="AU34" s="26">
        <v>0.48</v>
      </c>
      <c r="AX34" s="26">
        <v>0.1</v>
      </c>
      <c r="BA34" s="26">
        <v>0.15</v>
      </c>
    </row>
    <row r="35" spans="1:53" s="28" customFormat="1" ht="21" x14ac:dyDescent="0.35">
      <c r="A35" s="1"/>
      <c r="B35" s="2">
        <v>11</v>
      </c>
      <c r="C35" s="35">
        <v>0</v>
      </c>
      <c r="D35" s="42"/>
      <c r="H35" s="2"/>
      <c r="I35" s="40">
        <v>1740</v>
      </c>
      <c r="J35" s="26">
        <v>0.88094319649999997</v>
      </c>
      <c r="K35" s="26">
        <v>0.49</v>
      </c>
      <c r="N35" s="26">
        <v>0.69</v>
      </c>
      <c r="Q35" s="26">
        <v>0.47</v>
      </c>
      <c r="T35" s="26">
        <v>0.45500000000000002</v>
      </c>
      <c r="W35" s="26">
        <v>0</v>
      </c>
      <c r="Z35" s="26">
        <v>0.06</v>
      </c>
      <c r="AC35" s="26">
        <v>0.66</v>
      </c>
      <c r="AF35" s="26">
        <v>0.44</v>
      </c>
      <c r="AI35" s="26">
        <v>0.41</v>
      </c>
      <c r="AL35" s="26">
        <v>0.66</v>
      </c>
      <c r="AO35" s="26">
        <v>0.40500000000000003</v>
      </c>
      <c r="AR35" s="26">
        <v>0.41</v>
      </c>
      <c r="AU35" s="26">
        <v>0.48</v>
      </c>
      <c r="AX35" s="26">
        <v>0.09</v>
      </c>
      <c r="BA35" s="26">
        <v>0.15</v>
      </c>
    </row>
    <row r="36" spans="1:53" s="28" customFormat="1" ht="21" x14ac:dyDescent="0.35">
      <c r="A36" s="1"/>
      <c r="B36" s="2">
        <v>12</v>
      </c>
      <c r="C36" s="35">
        <v>0</v>
      </c>
      <c r="D36" s="42"/>
      <c r="H36" s="2"/>
      <c r="I36" s="40">
        <v>1800</v>
      </c>
      <c r="J36" s="26">
        <v>0.87624440699999995</v>
      </c>
      <c r="K36" s="26">
        <v>0.49</v>
      </c>
      <c r="N36" s="26">
        <v>0.69</v>
      </c>
      <c r="Q36" s="26">
        <v>0.47</v>
      </c>
      <c r="T36" s="26">
        <v>0.45</v>
      </c>
      <c r="W36" s="26">
        <v>0</v>
      </c>
      <c r="Z36" s="26">
        <v>0.06</v>
      </c>
      <c r="AC36" s="26">
        <v>0.66</v>
      </c>
      <c r="AF36" s="26">
        <v>0.44</v>
      </c>
      <c r="AI36" s="26">
        <v>0.41</v>
      </c>
      <c r="AL36" s="26">
        <v>0.66</v>
      </c>
      <c r="AO36" s="26">
        <v>0.41</v>
      </c>
      <c r="AR36" s="26">
        <v>0.41</v>
      </c>
      <c r="AU36" s="26">
        <v>0.48</v>
      </c>
      <c r="AX36" s="26">
        <v>0.09</v>
      </c>
      <c r="BA36" s="26">
        <v>0.14499999999999999</v>
      </c>
    </row>
    <row r="37" spans="1:53" s="28" customFormat="1" ht="21" x14ac:dyDescent="0.35">
      <c r="A37" s="1"/>
      <c r="B37" s="2">
        <v>13</v>
      </c>
      <c r="C37" s="49">
        <v>1</v>
      </c>
      <c r="D37" s="42"/>
      <c r="E37" s="2"/>
      <c r="F37" s="2"/>
      <c r="G37" s="2"/>
      <c r="H37" s="2"/>
      <c r="I37" s="40">
        <v>1860</v>
      </c>
      <c r="J37" s="26">
        <v>0.86849329249999996</v>
      </c>
      <c r="K37" s="26">
        <v>0.48499999999999999</v>
      </c>
      <c r="N37" s="26">
        <v>0.69</v>
      </c>
      <c r="Q37" s="26">
        <v>0.47</v>
      </c>
      <c r="T37" s="26">
        <v>0.45</v>
      </c>
      <c r="W37" s="26">
        <v>0</v>
      </c>
      <c r="Z37" s="26">
        <v>0.05</v>
      </c>
      <c r="AC37" s="26">
        <v>0.66</v>
      </c>
      <c r="AF37" s="26">
        <v>0.44</v>
      </c>
      <c r="AI37" s="26">
        <v>0.41</v>
      </c>
      <c r="AL37" s="26">
        <v>0.66</v>
      </c>
      <c r="AO37" s="26">
        <v>0.41</v>
      </c>
      <c r="AR37" s="26">
        <v>0.41</v>
      </c>
      <c r="AU37" s="26">
        <v>0.48</v>
      </c>
      <c r="AX37" s="26">
        <v>0.08</v>
      </c>
      <c r="BA37" s="26">
        <v>0.14000000000000001</v>
      </c>
    </row>
    <row r="38" spans="1:53" s="28" customFormat="1" ht="21" x14ac:dyDescent="0.35">
      <c r="A38" s="1"/>
      <c r="B38" s="2">
        <v>14</v>
      </c>
      <c r="C38" s="35">
        <v>0</v>
      </c>
      <c r="D38" s="42"/>
      <c r="E38" s="2"/>
      <c r="F38" s="2"/>
      <c r="G38" s="2"/>
      <c r="H38" s="2"/>
      <c r="I38" s="40">
        <v>1920</v>
      </c>
      <c r="J38" s="26">
        <v>0.862505411</v>
      </c>
      <c r="K38" s="26">
        <v>0.48</v>
      </c>
      <c r="N38" s="26">
        <v>0.69</v>
      </c>
      <c r="Q38" s="26">
        <v>0.46</v>
      </c>
      <c r="T38" s="26">
        <v>0.45</v>
      </c>
      <c r="W38" s="26">
        <v>0</v>
      </c>
      <c r="Z38" s="26">
        <v>0.05</v>
      </c>
      <c r="AC38" s="26">
        <v>0.66</v>
      </c>
      <c r="AF38" s="26">
        <v>0.44</v>
      </c>
      <c r="AI38" s="26">
        <v>0.41</v>
      </c>
      <c r="AL38" s="26">
        <v>0.66</v>
      </c>
      <c r="AO38" s="26">
        <v>0.41</v>
      </c>
      <c r="AR38" s="26">
        <v>0.41</v>
      </c>
      <c r="AU38" s="26">
        <v>0.48</v>
      </c>
      <c r="AX38" s="26">
        <v>7.0000000000000007E-2</v>
      </c>
      <c r="BA38" s="26">
        <v>0.13</v>
      </c>
    </row>
    <row r="39" spans="1:53" s="28" customFormat="1" ht="21.75" thickBot="1" x14ac:dyDescent="0.4">
      <c r="A39" s="1"/>
      <c r="B39" s="2">
        <v>15</v>
      </c>
      <c r="C39" s="36">
        <v>0</v>
      </c>
      <c r="D39" s="42"/>
      <c r="E39" s="2"/>
      <c r="F39" s="2"/>
      <c r="G39" s="2"/>
      <c r="H39" s="2"/>
      <c r="I39" s="40">
        <v>1980</v>
      </c>
      <c r="J39" s="26">
        <v>0.85705955</v>
      </c>
      <c r="K39" s="26">
        <v>0.48</v>
      </c>
      <c r="N39" s="26">
        <v>0.69</v>
      </c>
      <c r="Q39" s="26">
        <v>0.46</v>
      </c>
      <c r="T39" s="26">
        <v>0.45</v>
      </c>
      <c r="W39" s="26">
        <v>0</v>
      </c>
      <c r="Z39" s="26">
        <v>0.04</v>
      </c>
      <c r="AC39" s="26">
        <v>0.66</v>
      </c>
      <c r="AF39" s="26">
        <v>0.44</v>
      </c>
      <c r="AI39" s="26">
        <v>0.41</v>
      </c>
      <c r="AL39" s="26">
        <v>0.66</v>
      </c>
      <c r="AO39" s="26">
        <v>0.41</v>
      </c>
      <c r="AR39" s="26">
        <v>0.41</v>
      </c>
      <c r="AU39" s="26">
        <v>0.47</v>
      </c>
      <c r="AX39" s="26">
        <v>5.5E-2</v>
      </c>
      <c r="BA39" s="26">
        <v>0.12</v>
      </c>
    </row>
    <row r="40" spans="1:53" s="28" customFormat="1" ht="21" x14ac:dyDescent="0.35">
      <c r="A40" s="1"/>
      <c r="E40" s="2"/>
      <c r="F40" s="2"/>
      <c r="G40" s="2"/>
      <c r="H40" s="2"/>
      <c r="I40" s="40">
        <v>2040</v>
      </c>
      <c r="J40" s="26">
        <v>0.85164924500000005</v>
      </c>
      <c r="K40" s="26">
        <v>0.48</v>
      </c>
      <c r="N40" s="26">
        <v>0.69</v>
      </c>
      <c r="Q40" s="26">
        <v>0.46</v>
      </c>
      <c r="T40" s="26">
        <v>0.45</v>
      </c>
      <c r="W40" s="26">
        <v>0</v>
      </c>
      <c r="Z40" s="26">
        <v>3.5000000000000003E-2</v>
      </c>
      <c r="AC40" s="26">
        <v>0.65500000000000003</v>
      </c>
      <c r="AF40" s="26">
        <v>0.44</v>
      </c>
      <c r="AI40" s="26">
        <v>0.40500000000000003</v>
      </c>
      <c r="AL40" s="26">
        <v>0.65500000000000003</v>
      </c>
      <c r="AO40" s="26">
        <v>0.4</v>
      </c>
      <c r="AR40" s="26">
        <v>0.41</v>
      </c>
      <c r="AU40" s="26">
        <v>0.47</v>
      </c>
      <c r="AX40" s="26">
        <v>0.04</v>
      </c>
      <c r="BA40" s="26">
        <v>0.11</v>
      </c>
    </row>
    <row r="41" spans="1:53" s="28" customFormat="1" ht="21" x14ac:dyDescent="0.35">
      <c r="A41" s="1"/>
      <c r="E41" s="2"/>
      <c r="F41" s="2"/>
      <c r="G41" s="2"/>
      <c r="H41" s="2"/>
      <c r="I41" s="40">
        <v>2100</v>
      </c>
      <c r="J41" s="26">
        <v>0.84633934399999999</v>
      </c>
      <c r="K41" s="26">
        <v>0.48</v>
      </c>
      <c r="N41" s="26">
        <v>0.68500000000000005</v>
      </c>
      <c r="Q41" s="26">
        <v>0.46</v>
      </c>
      <c r="T41" s="26">
        <v>0.44500000000000001</v>
      </c>
      <c r="W41" s="26">
        <v>0</v>
      </c>
      <c r="Z41" s="26">
        <v>0.03</v>
      </c>
      <c r="AC41" s="26">
        <v>0.65</v>
      </c>
      <c r="AF41" s="26">
        <v>0.435</v>
      </c>
      <c r="AI41" s="26">
        <v>0.4</v>
      </c>
      <c r="AL41" s="26">
        <v>0.65</v>
      </c>
      <c r="AO41" s="26">
        <v>0.4</v>
      </c>
      <c r="AR41" s="26">
        <v>0.41</v>
      </c>
      <c r="AU41" s="26">
        <v>0.46500000000000002</v>
      </c>
      <c r="AX41" s="26">
        <v>2.5000000000000001E-2</v>
      </c>
      <c r="BA41" s="26">
        <v>9.5000000000000001E-2</v>
      </c>
    </row>
    <row r="42" spans="1:53" s="28" customFormat="1" ht="21" x14ac:dyDescent="0.35">
      <c r="A42" s="1"/>
      <c r="E42" s="2"/>
      <c r="F42" s="2"/>
      <c r="G42" s="2"/>
      <c r="H42" s="2"/>
      <c r="I42" s="40">
        <v>2160</v>
      </c>
      <c r="J42" s="26">
        <v>0.84058439149999997</v>
      </c>
      <c r="K42" s="26">
        <v>0.48</v>
      </c>
      <c r="N42" s="26">
        <v>0.68</v>
      </c>
      <c r="Q42" s="26">
        <v>0.45500000000000002</v>
      </c>
      <c r="T42" s="26">
        <v>0.44</v>
      </c>
      <c r="W42" s="26">
        <v>0</v>
      </c>
      <c r="Z42" s="26">
        <v>0.02</v>
      </c>
      <c r="AC42" s="26">
        <v>0.65</v>
      </c>
      <c r="AF42" s="26">
        <v>0.43</v>
      </c>
      <c r="AI42" s="26">
        <v>0.4</v>
      </c>
      <c r="AL42" s="26">
        <v>0.65</v>
      </c>
      <c r="AO42" s="26">
        <v>0.4</v>
      </c>
      <c r="AR42" s="26">
        <v>0.41</v>
      </c>
      <c r="AU42" s="26">
        <v>0.46</v>
      </c>
      <c r="AX42" s="26">
        <v>1.4999999999999999E-2</v>
      </c>
      <c r="BA42" s="26">
        <v>8.5000000000000006E-2</v>
      </c>
    </row>
    <row r="43" spans="1:53" s="28" customFormat="1" ht="21" x14ac:dyDescent="0.35">
      <c r="A43" s="1"/>
      <c r="E43" s="2"/>
      <c r="F43" s="2"/>
      <c r="G43" s="2"/>
      <c r="H43" s="2"/>
      <c r="I43" s="40">
        <v>2220</v>
      </c>
      <c r="J43" s="26">
        <v>0.83637368300000003</v>
      </c>
      <c r="K43" s="26">
        <v>0.48</v>
      </c>
      <c r="N43" s="26">
        <v>0.68</v>
      </c>
      <c r="Q43" s="26">
        <v>0.45</v>
      </c>
      <c r="T43" s="26">
        <v>0.44</v>
      </c>
      <c r="W43" s="26">
        <v>0</v>
      </c>
      <c r="Z43" s="26">
        <v>1.4999999999999999E-2</v>
      </c>
      <c r="AC43" s="26">
        <v>0.65</v>
      </c>
      <c r="AF43" s="26">
        <v>0.43</v>
      </c>
      <c r="AI43" s="26">
        <v>0.4</v>
      </c>
      <c r="AL43" s="26">
        <v>0.65</v>
      </c>
      <c r="AO43" s="26">
        <v>0.39500000000000002</v>
      </c>
      <c r="AR43" s="26">
        <v>0.4</v>
      </c>
      <c r="AU43" s="26">
        <v>0.45500000000000002</v>
      </c>
      <c r="AX43" s="26">
        <v>0.01</v>
      </c>
      <c r="BA43" s="26">
        <v>7.4999999999999997E-2</v>
      </c>
    </row>
    <row r="44" spans="1:53" s="28" customFormat="1" ht="21" x14ac:dyDescent="0.35">
      <c r="A44" s="1"/>
      <c r="E44" s="2"/>
      <c r="F44" s="2"/>
      <c r="G44" s="2"/>
      <c r="H44" s="2"/>
      <c r="I44" s="40">
        <v>2280</v>
      </c>
      <c r="J44" s="26">
        <v>0.82997873150000001</v>
      </c>
      <c r="K44" s="26">
        <v>0.48</v>
      </c>
      <c r="N44" s="26">
        <v>0.68</v>
      </c>
      <c r="Q44" s="26">
        <v>0.45</v>
      </c>
      <c r="T44" s="26">
        <v>0.44</v>
      </c>
      <c r="W44" s="26">
        <v>0</v>
      </c>
      <c r="Z44" s="26">
        <v>0.01</v>
      </c>
      <c r="AC44" s="26">
        <v>0.64500000000000002</v>
      </c>
      <c r="AF44" s="26">
        <v>0.43</v>
      </c>
      <c r="AI44" s="26">
        <v>0.39</v>
      </c>
      <c r="AL44" s="26">
        <v>0.64</v>
      </c>
      <c r="AO44" s="26">
        <v>0.39</v>
      </c>
      <c r="AR44" s="26">
        <v>0.4</v>
      </c>
      <c r="AU44" s="26">
        <v>0.45</v>
      </c>
      <c r="AX44" s="26">
        <v>0</v>
      </c>
      <c r="BA44" s="26">
        <v>6.5000000000000002E-2</v>
      </c>
    </row>
    <row r="45" spans="1:53" s="28" customFormat="1" ht="21" x14ac:dyDescent="0.35">
      <c r="A45" s="1"/>
      <c r="E45" s="2"/>
      <c r="F45" s="2"/>
      <c r="G45" s="2"/>
      <c r="H45" s="2"/>
      <c r="I45" s="40">
        <v>2340</v>
      </c>
      <c r="J45" s="26">
        <v>0.82518135500000001</v>
      </c>
      <c r="K45" s="26">
        <v>0.48</v>
      </c>
      <c r="N45" s="26">
        <v>0.68</v>
      </c>
      <c r="Q45" s="26">
        <v>0.45</v>
      </c>
      <c r="T45" s="26">
        <v>0.435</v>
      </c>
      <c r="W45" s="26">
        <v>0</v>
      </c>
      <c r="Z45" s="26">
        <v>0.01</v>
      </c>
      <c r="AC45" s="26">
        <v>0.64</v>
      </c>
      <c r="AF45" s="26">
        <v>0.42</v>
      </c>
      <c r="AI45" s="26">
        <v>0.39</v>
      </c>
      <c r="AL45" s="26">
        <v>0.64</v>
      </c>
      <c r="AO45" s="26">
        <v>0.39</v>
      </c>
      <c r="AR45" s="26">
        <v>0.39500000000000002</v>
      </c>
      <c r="AU45" s="26">
        <v>0.44</v>
      </c>
      <c r="AX45" s="26">
        <v>0</v>
      </c>
      <c r="BA45" s="26">
        <v>0.05</v>
      </c>
    </row>
    <row r="46" spans="1:53" s="28" customFormat="1" ht="21" x14ac:dyDescent="0.35">
      <c r="A46" s="1"/>
      <c r="E46" s="2"/>
      <c r="F46" s="2"/>
      <c r="G46" s="2"/>
      <c r="H46" s="2"/>
      <c r="I46" s="40">
        <v>2400</v>
      </c>
      <c r="J46" s="26">
        <v>0.82186761649999995</v>
      </c>
      <c r="K46" s="26">
        <v>0.48</v>
      </c>
      <c r="N46" s="26">
        <v>0.67</v>
      </c>
      <c r="Q46" s="26">
        <v>0.44500000000000001</v>
      </c>
      <c r="T46" s="26">
        <v>0.43</v>
      </c>
      <c r="W46" s="26">
        <v>0</v>
      </c>
      <c r="Z46" s="26">
        <v>0</v>
      </c>
      <c r="AC46" s="26">
        <v>0.64</v>
      </c>
      <c r="AF46" s="26">
        <v>0.42</v>
      </c>
      <c r="AI46" s="26">
        <v>0.39</v>
      </c>
      <c r="AL46" s="26">
        <v>0.63500000000000001</v>
      </c>
      <c r="AO46" s="26">
        <v>0.38</v>
      </c>
      <c r="AR46" s="26">
        <v>0.39</v>
      </c>
      <c r="AU46" s="26">
        <v>0.435</v>
      </c>
      <c r="AX46" s="26">
        <v>0</v>
      </c>
      <c r="BA46" s="26">
        <v>0.04</v>
      </c>
    </row>
    <row r="47" spans="1:53" s="28" customFormat="1" ht="21" x14ac:dyDescent="0.35">
      <c r="A47" s="1"/>
      <c r="E47" s="2"/>
      <c r="F47" s="2"/>
      <c r="G47" s="2"/>
      <c r="H47" s="2"/>
      <c r="I47" s="40">
        <v>2460</v>
      </c>
      <c r="J47" s="26">
        <v>0.81569488599999995</v>
      </c>
      <c r="K47" s="26">
        <v>0.48</v>
      </c>
      <c r="N47" s="26">
        <v>0.67</v>
      </c>
      <c r="Q47" s="26">
        <v>0.44</v>
      </c>
      <c r="T47" s="26">
        <v>0.43</v>
      </c>
      <c r="W47" s="26">
        <v>0</v>
      </c>
      <c r="Z47" s="26">
        <v>0</v>
      </c>
      <c r="AC47" s="26">
        <v>0.63</v>
      </c>
      <c r="AF47" s="26">
        <v>0.42</v>
      </c>
      <c r="AI47" s="26">
        <v>0.38</v>
      </c>
      <c r="AL47" s="26">
        <v>0.63</v>
      </c>
      <c r="AO47" s="26">
        <v>0.38</v>
      </c>
      <c r="AR47" s="26">
        <v>0.38500000000000001</v>
      </c>
      <c r="AU47" s="26">
        <v>0.43</v>
      </c>
      <c r="AX47" s="26">
        <v>0</v>
      </c>
      <c r="BA47" s="26">
        <v>2.5000000000000001E-2</v>
      </c>
    </row>
    <row r="48" spans="1:53" s="28" customFormat="1" ht="21" x14ac:dyDescent="0.35">
      <c r="A48" s="1"/>
      <c r="E48" s="2"/>
      <c r="F48" s="2"/>
      <c r="G48" s="2"/>
      <c r="H48" s="2"/>
      <c r="I48" s="40">
        <v>2520</v>
      </c>
      <c r="J48" s="26">
        <v>0.81057609549999998</v>
      </c>
      <c r="K48" s="26">
        <v>0.48</v>
      </c>
      <c r="N48" s="26">
        <v>0.67</v>
      </c>
      <c r="Q48" s="26">
        <v>0.44</v>
      </c>
      <c r="T48" s="26">
        <v>0.43</v>
      </c>
      <c r="W48" s="26">
        <v>0</v>
      </c>
      <c r="Z48" s="26">
        <v>0</v>
      </c>
      <c r="AC48" s="26">
        <v>0.63</v>
      </c>
      <c r="AF48" s="26">
        <v>0.41</v>
      </c>
      <c r="AI48" s="26">
        <v>0.38</v>
      </c>
      <c r="AL48" s="26">
        <v>0.62</v>
      </c>
      <c r="AO48" s="26">
        <v>0.37</v>
      </c>
      <c r="AR48" s="26">
        <v>0.38</v>
      </c>
      <c r="AU48" s="26">
        <v>0.42</v>
      </c>
      <c r="AX48" s="26">
        <v>0</v>
      </c>
      <c r="BA48" s="26">
        <v>1.4999999999999999E-2</v>
      </c>
    </row>
    <row r="49" spans="1:53" s="28" customFormat="1" ht="21" x14ac:dyDescent="0.35">
      <c r="A49" s="1"/>
      <c r="E49" s="2"/>
      <c r="F49" s="2"/>
      <c r="G49" s="2"/>
      <c r="H49" s="2"/>
      <c r="I49" s="40">
        <v>2580</v>
      </c>
      <c r="J49" s="26">
        <v>0.80720296499999999</v>
      </c>
      <c r="K49" s="26">
        <v>0.47499999999999998</v>
      </c>
      <c r="N49" s="26">
        <v>0.66500000000000004</v>
      </c>
      <c r="Q49" s="26">
        <v>0.44</v>
      </c>
      <c r="T49" s="26">
        <v>0.42</v>
      </c>
      <c r="W49" s="26">
        <v>0</v>
      </c>
      <c r="Z49" s="26">
        <v>0</v>
      </c>
      <c r="AC49" s="26">
        <v>0.63</v>
      </c>
      <c r="AF49" s="26">
        <v>0.41</v>
      </c>
      <c r="AI49" s="26">
        <v>0.375</v>
      </c>
      <c r="AL49" s="26">
        <v>0.62</v>
      </c>
      <c r="AO49" s="26">
        <v>0.36499999999999999</v>
      </c>
      <c r="AR49" s="26">
        <v>0.37</v>
      </c>
      <c r="AU49" s="26">
        <v>0.41</v>
      </c>
      <c r="AX49" s="26">
        <v>0</v>
      </c>
      <c r="BA49" s="26">
        <v>0.01</v>
      </c>
    </row>
    <row r="50" spans="1:53" s="28" customFormat="1" ht="21" x14ac:dyDescent="0.35">
      <c r="A50" s="1"/>
      <c r="E50" s="2"/>
      <c r="F50" s="2"/>
      <c r="G50" s="2"/>
      <c r="H50" s="2"/>
      <c r="I50" s="40">
        <v>2640</v>
      </c>
      <c r="J50" s="26">
        <v>0.80090659750000004</v>
      </c>
      <c r="K50" s="26">
        <v>0.47</v>
      </c>
      <c r="N50" s="26">
        <v>0.66</v>
      </c>
      <c r="Q50" s="26">
        <v>0.43</v>
      </c>
      <c r="T50" s="26">
        <v>0.42</v>
      </c>
      <c r="W50" s="26">
        <v>0</v>
      </c>
      <c r="Z50" s="26">
        <v>0</v>
      </c>
      <c r="AC50" s="26">
        <v>0.62</v>
      </c>
      <c r="AF50" s="26">
        <v>0.40500000000000003</v>
      </c>
      <c r="AI50" s="26">
        <v>0.37</v>
      </c>
      <c r="AL50" s="26">
        <v>0.61</v>
      </c>
      <c r="AO50" s="26">
        <v>0.36</v>
      </c>
      <c r="AR50" s="26">
        <v>0.37</v>
      </c>
      <c r="AU50" s="26">
        <v>0.4</v>
      </c>
      <c r="AX50" s="26">
        <v>0</v>
      </c>
      <c r="BA50" s="26">
        <v>0</v>
      </c>
    </row>
    <row r="51" spans="1:53" s="28" customFormat="1" ht="21" x14ac:dyDescent="0.35">
      <c r="A51" s="1"/>
      <c r="E51" s="2"/>
      <c r="F51" s="2"/>
      <c r="G51" s="2"/>
      <c r="H51" s="2"/>
      <c r="I51" s="40">
        <v>2700</v>
      </c>
      <c r="J51" s="26">
        <v>0.79604437400000005</v>
      </c>
      <c r="K51" s="26">
        <v>0.47</v>
      </c>
      <c r="N51" s="26">
        <v>0.66</v>
      </c>
      <c r="Q51" s="26">
        <v>0.43</v>
      </c>
      <c r="T51" s="26">
        <v>0.42</v>
      </c>
      <c r="W51" s="26">
        <v>0</v>
      </c>
      <c r="Z51" s="26">
        <v>0</v>
      </c>
      <c r="AC51" s="26">
        <v>0.62</v>
      </c>
      <c r="AF51" s="26">
        <v>0.4</v>
      </c>
      <c r="AI51" s="26">
        <v>0.36499999999999999</v>
      </c>
      <c r="AL51" s="26">
        <v>0.60499999999999998</v>
      </c>
      <c r="AO51" s="26">
        <v>0.35</v>
      </c>
      <c r="AR51" s="26">
        <v>0.36</v>
      </c>
      <c r="AU51" s="26">
        <v>0.39500000000000002</v>
      </c>
      <c r="AX51" s="26">
        <v>0</v>
      </c>
      <c r="BA51" s="26">
        <v>0</v>
      </c>
    </row>
    <row r="52" spans="1:53" s="28" customFormat="1" ht="21" x14ac:dyDescent="0.35">
      <c r="A52" s="1"/>
      <c r="E52" s="2"/>
      <c r="F52" s="2"/>
      <c r="G52" s="2"/>
      <c r="H52" s="2"/>
      <c r="I52" s="40">
        <v>2760</v>
      </c>
      <c r="J52" s="26">
        <v>0.7922722525</v>
      </c>
      <c r="K52" s="26">
        <v>0.47</v>
      </c>
      <c r="N52" s="26">
        <v>0.66</v>
      </c>
      <c r="Q52" s="26">
        <v>0.43</v>
      </c>
      <c r="T52" s="26">
        <v>0.41499999999999998</v>
      </c>
      <c r="W52" s="26">
        <v>0</v>
      </c>
      <c r="Z52" s="26">
        <v>0</v>
      </c>
      <c r="AC52" s="26">
        <v>0.61</v>
      </c>
      <c r="AF52" s="26">
        <v>0.39500000000000002</v>
      </c>
      <c r="AI52" s="26">
        <v>0.36</v>
      </c>
      <c r="AL52" s="26">
        <v>0.6</v>
      </c>
      <c r="AO52" s="26">
        <v>0.34499999999999997</v>
      </c>
      <c r="AR52" s="26">
        <v>0.35499999999999998</v>
      </c>
      <c r="AU52" s="26">
        <v>0.38500000000000001</v>
      </c>
      <c r="AX52" s="26">
        <v>0</v>
      </c>
      <c r="BA52" s="26">
        <v>0</v>
      </c>
    </row>
    <row r="53" spans="1:53" s="28" customFormat="1" ht="21" x14ac:dyDescent="0.35">
      <c r="A53" s="1"/>
      <c r="E53" s="2"/>
      <c r="F53" s="2"/>
      <c r="G53" s="2"/>
      <c r="H53" s="2"/>
      <c r="I53" s="40">
        <v>2820</v>
      </c>
      <c r="J53" s="26">
        <v>0.78545103699999996</v>
      </c>
      <c r="K53" s="26">
        <v>0.47</v>
      </c>
      <c r="N53" s="26">
        <v>0.65</v>
      </c>
      <c r="Q53" s="26">
        <v>0.42</v>
      </c>
      <c r="T53" s="26">
        <v>0.41</v>
      </c>
      <c r="W53" s="26">
        <v>0</v>
      </c>
      <c r="Z53" s="26">
        <v>0</v>
      </c>
      <c r="AC53" s="26">
        <v>0.61</v>
      </c>
      <c r="AF53" s="26">
        <v>0.39</v>
      </c>
      <c r="AI53" s="26">
        <v>0.36</v>
      </c>
      <c r="AL53" s="26">
        <v>0.59</v>
      </c>
      <c r="AO53" s="26">
        <v>0.34</v>
      </c>
      <c r="AR53" s="26">
        <v>0.34499999999999997</v>
      </c>
      <c r="AU53" s="26">
        <v>0.375</v>
      </c>
      <c r="AX53" s="26">
        <v>0</v>
      </c>
      <c r="BA53" s="26">
        <v>0</v>
      </c>
    </row>
    <row r="54" spans="1:53" s="28" customFormat="1" ht="21" x14ac:dyDescent="0.35">
      <c r="A54" s="1"/>
      <c r="E54" s="2"/>
      <c r="F54" s="2"/>
      <c r="G54" s="2"/>
      <c r="H54" s="2"/>
      <c r="I54" s="40">
        <v>2880</v>
      </c>
      <c r="J54" s="26">
        <v>0.78098638850000002</v>
      </c>
      <c r="K54" s="26">
        <v>0.47</v>
      </c>
      <c r="N54" s="26">
        <v>0.65</v>
      </c>
      <c r="Q54" s="26">
        <v>0.42</v>
      </c>
      <c r="T54" s="26">
        <v>0.41</v>
      </c>
      <c r="W54" s="26">
        <v>0</v>
      </c>
      <c r="Z54" s="26">
        <v>0</v>
      </c>
      <c r="AC54" s="26">
        <v>0.6</v>
      </c>
      <c r="AF54" s="26">
        <v>0.38500000000000001</v>
      </c>
      <c r="AI54" s="26">
        <v>0.35</v>
      </c>
      <c r="AL54" s="26">
        <v>0.57999999999999996</v>
      </c>
      <c r="AO54" s="26">
        <v>0.33</v>
      </c>
      <c r="AR54" s="26">
        <v>0.34</v>
      </c>
      <c r="AU54" s="26">
        <v>0.36499999999999999</v>
      </c>
      <c r="AX54" s="26">
        <v>0</v>
      </c>
      <c r="BA54" s="26">
        <v>0</v>
      </c>
    </row>
    <row r="55" spans="1:53" s="28" customFormat="1" ht="21" x14ac:dyDescent="0.35">
      <c r="A55" s="1"/>
      <c r="E55" s="2"/>
      <c r="F55" s="2"/>
      <c r="G55" s="2"/>
      <c r="H55" s="2"/>
      <c r="I55" s="40">
        <v>2940</v>
      </c>
      <c r="J55" s="26">
        <v>0.77586113400000001</v>
      </c>
      <c r="K55" s="26">
        <v>0.47</v>
      </c>
      <c r="N55" s="26">
        <v>0.65</v>
      </c>
      <c r="Q55" s="26">
        <v>0.42</v>
      </c>
      <c r="T55" s="26">
        <v>0.4</v>
      </c>
      <c r="W55" s="26">
        <v>0</v>
      </c>
      <c r="Z55" s="26">
        <v>0</v>
      </c>
      <c r="AC55" s="26">
        <v>0.6</v>
      </c>
      <c r="AF55" s="26">
        <v>0.38</v>
      </c>
      <c r="AI55" s="26">
        <v>0.34499999999999997</v>
      </c>
      <c r="AL55" s="26">
        <v>0.57499999999999996</v>
      </c>
      <c r="AO55" s="26">
        <v>0.32</v>
      </c>
      <c r="AR55" s="26">
        <v>0.33</v>
      </c>
      <c r="AU55" s="26">
        <v>0.35499999999999998</v>
      </c>
      <c r="AX55" s="26">
        <v>0</v>
      </c>
      <c r="BA55" s="26">
        <v>0</v>
      </c>
    </row>
    <row r="56" spans="1:53" s="28" customFormat="1" ht="21" x14ac:dyDescent="0.35">
      <c r="A56" s="1"/>
      <c r="E56" s="2"/>
      <c r="F56" s="2"/>
      <c r="G56" s="2"/>
      <c r="H56" s="2"/>
      <c r="I56" s="40">
        <v>3000</v>
      </c>
      <c r="J56" s="26">
        <v>0.77183446649999998</v>
      </c>
      <c r="K56" s="26">
        <v>0.47</v>
      </c>
      <c r="N56" s="26">
        <v>0.64</v>
      </c>
      <c r="Q56" s="26">
        <v>0.41</v>
      </c>
      <c r="T56" s="26">
        <v>0.4</v>
      </c>
      <c r="W56" s="26">
        <v>0</v>
      </c>
      <c r="Z56" s="26">
        <v>0</v>
      </c>
      <c r="AC56" s="26">
        <v>0.59</v>
      </c>
      <c r="AF56" s="26">
        <v>0.375</v>
      </c>
      <c r="AI56" s="26">
        <v>0.34</v>
      </c>
      <c r="AL56" s="26">
        <v>0.56999999999999995</v>
      </c>
      <c r="AO56" s="26">
        <v>0.315</v>
      </c>
      <c r="AR56" s="26">
        <v>0.32</v>
      </c>
      <c r="AU56" s="26">
        <v>0.34499999999999997</v>
      </c>
      <c r="AX56" s="26">
        <v>0</v>
      </c>
      <c r="BA56" s="26">
        <v>0</v>
      </c>
    </row>
    <row r="57" spans="1:53" s="28" customFormat="1" ht="21" x14ac:dyDescent="0.35">
      <c r="A57" s="1"/>
      <c r="E57" s="2"/>
      <c r="F57" s="2"/>
      <c r="G57" s="2"/>
      <c r="H57" s="2"/>
      <c r="I57" s="40">
        <v>3060</v>
      </c>
      <c r="J57" s="26">
        <v>0.76781466700000001</v>
      </c>
      <c r="K57" s="26">
        <v>0.46500000000000002</v>
      </c>
      <c r="N57" s="26">
        <v>0.64</v>
      </c>
      <c r="Q57" s="26">
        <v>0.41</v>
      </c>
      <c r="T57" s="26">
        <v>0.4</v>
      </c>
      <c r="W57" s="26">
        <v>0</v>
      </c>
      <c r="Z57" s="26">
        <v>0</v>
      </c>
      <c r="AC57" s="26">
        <v>0.59</v>
      </c>
      <c r="AF57" s="26">
        <v>0.37</v>
      </c>
      <c r="AI57" s="26">
        <v>0.34</v>
      </c>
      <c r="AL57" s="26">
        <v>0.56000000000000005</v>
      </c>
      <c r="AO57" s="26">
        <v>0.30499999999999999</v>
      </c>
      <c r="AR57" s="26">
        <v>0.315</v>
      </c>
      <c r="AU57" s="26">
        <v>0.33500000000000002</v>
      </c>
      <c r="AX57" s="26">
        <v>0</v>
      </c>
      <c r="BA57" s="26">
        <v>0</v>
      </c>
    </row>
    <row r="58" spans="1:53" s="28" customFormat="1" ht="21" x14ac:dyDescent="0.35">
      <c r="A58" s="1"/>
      <c r="E58" s="2"/>
      <c r="F58" s="2"/>
      <c r="G58" s="2"/>
      <c r="H58" s="2"/>
      <c r="I58" s="40">
        <v>3120</v>
      </c>
      <c r="J58" s="26">
        <v>0.76363729199999997</v>
      </c>
      <c r="K58" s="26">
        <v>0.46</v>
      </c>
      <c r="N58" s="26">
        <v>0.64</v>
      </c>
      <c r="Q58" s="26">
        <v>0.41</v>
      </c>
      <c r="T58" s="26">
        <v>0.39</v>
      </c>
      <c r="W58" s="26">
        <v>0</v>
      </c>
      <c r="Z58" s="26">
        <v>0</v>
      </c>
      <c r="AC58" s="26">
        <v>0.57999999999999996</v>
      </c>
      <c r="AF58" s="26">
        <v>0.36499999999999999</v>
      </c>
      <c r="AI58" s="26">
        <v>0.33</v>
      </c>
      <c r="AL58" s="26">
        <v>0.55000000000000004</v>
      </c>
      <c r="AO58" s="26">
        <v>0.3</v>
      </c>
      <c r="AR58" s="26">
        <v>0.30499999999999999</v>
      </c>
      <c r="AU58" s="26">
        <v>0.32500000000000001</v>
      </c>
      <c r="AX58" s="26">
        <v>0</v>
      </c>
      <c r="BA58" s="26">
        <v>0</v>
      </c>
    </row>
    <row r="59" spans="1:53" s="28" customFormat="1" ht="21" x14ac:dyDescent="0.35">
      <c r="A59" s="1"/>
      <c r="E59" s="2"/>
      <c r="F59" s="2"/>
      <c r="G59" s="2"/>
      <c r="H59" s="2"/>
      <c r="I59" s="40">
        <v>3180</v>
      </c>
      <c r="J59" s="26">
        <v>0.76156012200000001</v>
      </c>
      <c r="K59" s="26">
        <v>0.46</v>
      </c>
      <c r="N59" s="26">
        <v>0.63</v>
      </c>
      <c r="Q59" s="26">
        <v>0.41</v>
      </c>
      <c r="T59" s="26">
        <v>0.39</v>
      </c>
      <c r="W59" s="26">
        <v>0</v>
      </c>
      <c r="Z59" s="26">
        <v>0</v>
      </c>
      <c r="AC59" s="26">
        <v>0.57999999999999996</v>
      </c>
      <c r="AF59" s="26">
        <v>0.36</v>
      </c>
      <c r="AI59" s="26">
        <v>0.33</v>
      </c>
      <c r="AL59" s="26">
        <v>0.54500000000000004</v>
      </c>
      <c r="AO59" s="26">
        <v>0.28999999999999998</v>
      </c>
      <c r="AR59" s="26">
        <v>0.3</v>
      </c>
      <c r="AU59" s="26">
        <v>0.315</v>
      </c>
      <c r="AX59" s="26">
        <v>0</v>
      </c>
      <c r="BA59" s="26">
        <v>0</v>
      </c>
    </row>
    <row r="60" spans="1:53" s="28" customFormat="1" ht="21" x14ac:dyDescent="0.35">
      <c r="A60" s="1"/>
      <c r="E60" s="2"/>
      <c r="F60" s="2"/>
      <c r="G60" s="2"/>
      <c r="H60" s="2"/>
      <c r="I60" s="40">
        <v>3240</v>
      </c>
      <c r="J60" s="26">
        <v>0.75707163450000003</v>
      </c>
      <c r="K60" s="26">
        <v>0.46</v>
      </c>
      <c r="N60" s="26">
        <v>0.63</v>
      </c>
      <c r="Q60" s="26">
        <v>0.4</v>
      </c>
      <c r="T60" s="26">
        <v>0.39</v>
      </c>
      <c r="W60" s="26">
        <v>0</v>
      </c>
      <c r="Z60" s="26">
        <v>0</v>
      </c>
      <c r="AC60" s="26">
        <v>0.56999999999999995</v>
      </c>
      <c r="AF60" s="26">
        <v>0.35499999999999998</v>
      </c>
      <c r="AI60" s="26">
        <v>0.32</v>
      </c>
      <c r="AL60" s="26">
        <v>0.53500000000000003</v>
      </c>
      <c r="AO60" s="26">
        <v>0.28000000000000003</v>
      </c>
      <c r="AR60" s="26">
        <v>0.28999999999999998</v>
      </c>
      <c r="AU60" s="26">
        <v>0.30499999999999999</v>
      </c>
      <c r="AX60" s="26">
        <v>0</v>
      </c>
      <c r="BA60" s="26">
        <v>0</v>
      </c>
    </row>
    <row r="61" spans="1:53" s="28" customFormat="1" ht="21" x14ac:dyDescent="0.35">
      <c r="A61" s="1"/>
      <c r="B61" s="2"/>
      <c r="C61" s="2"/>
      <c r="D61" s="2"/>
      <c r="E61" s="2"/>
      <c r="F61" s="2"/>
      <c r="G61" s="2"/>
      <c r="H61" s="2"/>
      <c r="I61" s="40">
        <v>3300</v>
      </c>
      <c r="J61" s="26">
        <v>0.75287547249999998</v>
      </c>
      <c r="K61" s="26">
        <v>0.46</v>
      </c>
      <c r="N61" s="26">
        <v>0.63</v>
      </c>
      <c r="Q61" s="26">
        <v>0.4</v>
      </c>
      <c r="T61" s="26">
        <v>0.38</v>
      </c>
      <c r="W61" s="26">
        <v>0</v>
      </c>
      <c r="Z61" s="26">
        <v>0</v>
      </c>
      <c r="AC61" s="26">
        <v>0.56999999999999995</v>
      </c>
      <c r="AF61" s="26">
        <v>0.35</v>
      </c>
      <c r="AI61" s="26">
        <v>0.315</v>
      </c>
      <c r="AL61" s="26">
        <v>0.52500000000000002</v>
      </c>
      <c r="AO61" s="26">
        <v>0.27500000000000002</v>
      </c>
      <c r="AR61" s="26">
        <v>0.28000000000000003</v>
      </c>
      <c r="AU61" s="26">
        <v>0.29499999999999998</v>
      </c>
      <c r="AX61" s="26">
        <v>0</v>
      </c>
      <c r="BA61" s="26">
        <v>0</v>
      </c>
    </row>
    <row r="62" spans="1:53" s="28" customFormat="1" ht="21" x14ac:dyDescent="0.35">
      <c r="A62" s="1"/>
      <c r="B62" s="2"/>
      <c r="C62" s="2"/>
      <c r="D62" s="2"/>
      <c r="E62" s="2"/>
      <c r="F62" s="2"/>
      <c r="G62" s="2"/>
      <c r="H62" s="2"/>
      <c r="I62" s="40">
        <v>3360</v>
      </c>
      <c r="J62" s="26">
        <v>0.74806274250000004</v>
      </c>
      <c r="K62" s="26">
        <v>0.46</v>
      </c>
      <c r="N62" s="26">
        <v>0.62</v>
      </c>
      <c r="Q62" s="26">
        <v>0.39500000000000002</v>
      </c>
      <c r="T62" s="26">
        <v>0.38</v>
      </c>
      <c r="W62" s="26">
        <v>0</v>
      </c>
      <c r="Z62" s="26">
        <v>0</v>
      </c>
      <c r="AC62" s="26">
        <v>0.56000000000000005</v>
      </c>
      <c r="AF62" s="26">
        <v>0.34499999999999997</v>
      </c>
      <c r="AI62" s="26">
        <v>0.31</v>
      </c>
      <c r="AL62" s="26">
        <v>0.52</v>
      </c>
      <c r="AO62" s="26">
        <v>0.26500000000000001</v>
      </c>
      <c r="AR62" s="26">
        <v>0.27</v>
      </c>
      <c r="AU62" s="26">
        <v>0.28499999999999998</v>
      </c>
      <c r="AX62" s="26">
        <v>0</v>
      </c>
      <c r="BA62" s="26">
        <v>0</v>
      </c>
    </row>
    <row r="63" spans="1:53" s="28" customFormat="1" ht="21" x14ac:dyDescent="0.35">
      <c r="A63" s="1"/>
      <c r="B63" s="2"/>
      <c r="C63" s="2"/>
      <c r="D63" s="2"/>
      <c r="E63" s="2"/>
      <c r="F63" s="2"/>
      <c r="G63" s="2"/>
      <c r="H63" s="2"/>
      <c r="I63" s="40">
        <v>3420</v>
      </c>
      <c r="J63" s="26">
        <v>0.74502314650000001</v>
      </c>
      <c r="K63" s="26">
        <v>0.46</v>
      </c>
      <c r="N63" s="26">
        <v>0.62</v>
      </c>
      <c r="Q63" s="26">
        <v>0.39</v>
      </c>
      <c r="T63" s="26">
        <v>0.38</v>
      </c>
      <c r="W63" s="26">
        <v>0</v>
      </c>
      <c r="Z63" s="26">
        <v>0</v>
      </c>
      <c r="AC63" s="26">
        <v>0.55500000000000005</v>
      </c>
      <c r="AF63" s="26">
        <v>0.34</v>
      </c>
      <c r="AI63" s="26">
        <v>0.30499999999999999</v>
      </c>
      <c r="AL63" s="26">
        <v>0.51</v>
      </c>
      <c r="AO63" s="26">
        <v>0.255</v>
      </c>
      <c r="AR63" s="26">
        <v>0.26500000000000001</v>
      </c>
      <c r="AU63" s="26">
        <v>0.27500000000000002</v>
      </c>
      <c r="AX63" s="26">
        <v>0</v>
      </c>
      <c r="BA63" s="26">
        <v>0</v>
      </c>
    </row>
    <row r="64" spans="1:53" s="28" customFormat="1" ht="21" x14ac:dyDescent="0.35">
      <c r="A64" s="1"/>
      <c r="B64" s="2"/>
      <c r="C64" s="2"/>
      <c r="D64" s="2"/>
      <c r="E64" s="2"/>
      <c r="F64" s="2">
        <v>30</v>
      </c>
      <c r="G64" s="2"/>
      <c r="H64" s="2"/>
      <c r="I64" s="40">
        <v>3480</v>
      </c>
      <c r="J64" s="26">
        <v>0.73935364849999996</v>
      </c>
      <c r="K64" s="26">
        <v>0.46</v>
      </c>
      <c r="N64" s="26">
        <v>0.61499999999999999</v>
      </c>
      <c r="Q64" s="26">
        <v>0.38500000000000001</v>
      </c>
      <c r="T64" s="26">
        <v>0.37</v>
      </c>
      <c r="W64" s="26">
        <v>0</v>
      </c>
      <c r="Z64" s="26">
        <v>0</v>
      </c>
      <c r="AC64" s="26">
        <v>0.55000000000000004</v>
      </c>
      <c r="AF64" s="26">
        <v>0.33</v>
      </c>
      <c r="AI64" s="26">
        <v>0.3</v>
      </c>
      <c r="AL64" s="26">
        <v>0.5</v>
      </c>
      <c r="AO64" s="26">
        <v>0.25</v>
      </c>
      <c r="AR64" s="26">
        <v>0.255</v>
      </c>
      <c r="AU64" s="26">
        <v>0.26500000000000001</v>
      </c>
      <c r="AX64" s="26">
        <v>0.01</v>
      </c>
      <c r="BA64" s="26">
        <v>0</v>
      </c>
    </row>
    <row r="65" spans="1:53" s="28" customFormat="1" ht="21" x14ac:dyDescent="0.35">
      <c r="A65" s="1"/>
      <c r="B65" s="2">
        <v>11</v>
      </c>
      <c r="C65" s="2"/>
      <c r="D65" s="2"/>
      <c r="E65" s="2"/>
      <c r="F65" s="2">
        <v>14</v>
      </c>
      <c r="G65" s="2"/>
      <c r="H65" s="2"/>
      <c r="I65" s="40">
        <v>3540</v>
      </c>
      <c r="J65" s="26">
        <v>0.73689405149999998</v>
      </c>
      <c r="K65" s="26">
        <v>0.45</v>
      </c>
      <c r="N65" s="26">
        <v>0.61</v>
      </c>
      <c r="Q65" s="26">
        <v>0.38</v>
      </c>
      <c r="T65" s="26">
        <v>0.37</v>
      </c>
      <c r="W65" s="26">
        <v>0</v>
      </c>
      <c r="Z65" s="26">
        <v>0</v>
      </c>
      <c r="AC65" s="26">
        <v>0.54500000000000004</v>
      </c>
      <c r="AF65" s="26">
        <v>0.33</v>
      </c>
      <c r="AI65" s="26">
        <v>0.29499999999999998</v>
      </c>
      <c r="AL65" s="26">
        <v>0.49</v>
      </c>
      <c r="AO65" s="26">
        <v>0.24</v>
      </c>
      <c r="AR65" s="26">
        <v>0.245</v>
      </c>
      <c r="AU65" s="26">
        <v>0.255</v>
      </c>
      <c r="AX65" s="26">
        <v>0.01</v>
      </c>
      <c r="BA65" s="26">
        <v>0</v>
      </c>
    </row>
    <row r="66" spans="1:53" s="28" customFormat="1" ht="21" x14ac:dyDescent="0.35">
      <c r="A66" s="1"/>
      <c r="B66" s="2" t="s">
        <v>79</v>
      </c>
      <c r="C66" s="2" t="e">
        <f>#REF!/B65</f>
        <v>#REF!</v>
      </c>
      <c r="D66" s="2"/>
      <c r="E66" s="2"/>
      <c r="F66" s="2" t="s">
        <v>78</v>
      </c>
      <c r="G66" s="2">
        <f>F64/F65</f>
        <v>2.1428571428571428</v>
      </c>
      <c r="H66" s="2"/>
      <c r="I66" s="40">
        <v>3600</v>
      </c>
      <c r="J66" s="26">
        <v>0.73059182550000001</v>
      </c>
      <c r="K66" s="26">
        <v>0.45</v>
      </c>
      <c r="N66" s="26">
        <v>0.61</v>
      </c>
      <c r="Q66" s="26">
        <v>0.375</v>
      </c>
      <c r="T66" s="26">
        <v>0.36499999999999999</v>
      </c>
      <c r="W66" s="26">
        <v>0</v>
      </c>
      <c r="Z66" s="26">
        <v>0</v>
      </c>
      <c r="AC66" s="26">
        <v>0.54</v>
      </c>
      <c r="AF66" s="26">
        <v>0.32</v>
      </c>
      <c r="AI66" s="26">
        <v>0.28999999999999998</v>
      </c>
      <c r="AL66" s="26">
        <v>0.48499999999999999</v>
      </c>
      <c r="AO66" s="26">
        <v>0.23</v>
      </c>
      <c r="AR66" s="26">
        <v>0.23499999999999999</v>
      </c>
      <c r="AU66" s="26">
        <v>0.245</v>
      </c>
      <c r="AX66" s="26">
        <v>0.01</v>
      </c>
      <c r="BA66" s="26">
        <v>0</v>
      </c>
    </row>
    <row r="67" spans="1:53" s="28" customFormat="1" ht="21" x14ac:dyDescent="0.35">
      <c r="A67" s="1"/>
      <c r="B67" s="2"/>
      <c r="C67" s="2"/>
      <c r="D67" s="2"/>
      <c r="E67" s="2"/>
      <c r="F67" s="2"/>
      <c r="G67" s="2"/>
      <c r="H67" s="2"/>
      <c r="I67" s="40">
        <v>3660</v>
      </c>
      <c r="J67" s="26">
        <v>0.728042937</v>
      </c>
      <c r="K67" s="26">
        <v>0.45</v>
      </c>
      <c r="N67" s="26">
        <v>0.6</v>
      </c>
      <c r="Q67" s="26">
        <v>0.37</v>
      </c>
      <c r="T67" s="26">
        <v>0.36</v>
      </c>
      <c r="W67" s="26">
        <v>0</v>
      </c>
      <c r="Z67" s="26">
        <v>0</v>
      </c>
      <c r="AC67" s="26">
        <v>0.53</v>
      </c>
      <c r="AF67" s="26">
        <v>0.315</v>
      </c>
      <c r="AI67" s="26">
        <v>0.28499999999999998</v>
      </c>
      <c r="AL67" s="26">
        <v>0.47499999999999998</v>
      </c>
      <c r="AO67" s="26">
        <v>0.22</v>
      </c>
      <c r="AR67" s="26">
        <v>0.22500000000000001</v>
      </c>
      <c r="AU67" s="26">
        <v>0.24</v>
      </c>
      <c r="AX67" s="26">
        <v>0.01</v>
      </c>
      <c r="BA67" s="26">
        <v>0</v>
      </c>
    </row>
    <row r="68" spans="1:53" s="28" customFormat="1" ht="21" x14ac:dyDescent="0.35">
      <c r="A68" s="1"/>
      <c r="B68" s="2"/>
      <c r="C68" s="2"/>
      <c r="D68" s="2"/>
      <c r="E68" s="2"/>
      <c r="F68" s="2"/>
      <c r="G68" s="2"/>
      <c r="H68" s="2"/>
      <c r="I68" s="40">
        <v>3720</v>
      </c>
      <c r="J68" s="26">
        <v>0.722648187</v>
      </c>
      <c r="K68" s="26">
        <v>0.45</v>
      </c>
      <c r="N68" s="26">
        <v>0.6</v>
      </c>
      <c r="Q68" s="26">
        <v>0.36499999999999999</v>
      </c>
      <c r="T68" s="26">
        <v>0.35499999999999998</v>
      </c>
      <c r="W68" s="26">
        <v>0</v>
      </c>
      <c r="Z68" s="26">
        <v>0</v>
      </c>
      <c r="AC68" s="26">
        <v>0.53</v>
      </c>
      <c r="AF68" s="26">
        <v>0.31</v>
      </c>
      <c r="AI68" s="26">
        <v>0.28000000000000003</v>
      </c>
      <c r="AL68" s="26">
        <v>0.46500000000000002</v>
      </c>
      <c r="AO68" s="26">
        <v>0.21</v>
      </c>
      <c r="AR68" s="26">
        <v>0.22</v>
      </c>
      <c r="AU68" s="26">
        <v>0.23</v>
      </c>
      <c r="AX68" s="26">
        <v>0.01</v>
      </c>
      <c r="BA68" s="26">
        <v>0</v>
      </c>
    </row>
    <row r="69" spans="1:53" s="28" customFormat="1" ht="21" x14ac:dyDescent="0.35">
      <c r="A69" s="1"/>
      <c r="B69" s="2"/>
      <c r="C69" s="2"/>
      <c r="D69" s="2"/>
      <c r="E69" s="2"/>
      <c r="F69" s="2"/>
      <c r="G69" s="2"/>
      <c r="H69" s="2"/>
      <c r="I69" s="40">
        <v>3780</v>
      </c>
      <c r="J69" s="26">
        <v>0.71698091200000003</v>
      </c>
      <c r="K69" s="26">
        <v>0.45</v>
      </c>
      <c r="N69" s="26">
        <v>0.59499999999999997</v>
      </c>
      <c r="Q69" s="26">
        <v>0.36</v>
      </c>
      <c r="T69" s="26">
        <v>0.35</v>
      </c>
      <c r="W69" s="26">
        <v>0</v>
      </c>
      <c r="Z69" s="26">
        <v>0</v>
      </c>
      <c r="AC69" s="26">
        <v>0.52</v>
      </c>
      <c r="AF69" s="26">
        <v>0.3</v>
      </c>
      <c r="AI69" s="26">
        <v>0.27</v>
      </c>
      <c r="AL69" s="26">
        <v>0.45500000000000002</v>
      </c>
      <c r="AO69" s="26">
        <v>0.20499999999999999</v>
      </c>
      <c r="AR69" s="26">
        <v>0.21</v>
      </c>
      <c r="AU69" s="26">
        <v>0.22</v>
      </c>
      <c r="AX69" s="26">
        <v>0.01</v>
      </c>
      <c r="BA69" s="26">
        <v>0</v>
      </c>
    </row>
    <row r="70" spans="1:53" s="28" customFormat="1" ht="21" x14ac:dyDescent="0.35">
      <c r="A70" s="1"/>
      <c r="B70" s="2"/>
      <c r="C70" s="2"/>
      <c r="D70" s="2"/>
      <c r="E70" s="2"/>
      <c r="F70" s="2"/>
      <c r="G70" s="2"/>
      <c r="H70" s="2"/>
      <c r="I70" s="40">
        <v>3840</v>
      </c>
      <c r="J70" s="26">
        <v>0.71277949650000005</v>
      </c>
      <c r="K70" s="26">
        <v>0.45</v>
      </c>
      <c r="N70" s="26">
        <v>0.59</v>
      </c>
      <c r="Q70" s="26">
        <v>0.36</v>
      </c>
      <c r="T70" s="26">
        <v>0.35</v>
      </c>
      <c r="W70" s="26">
        <v>0</v>
      </c>
      <c r="Z70" s="26">
        <v>0</v>
      </c>
      <c r="AC70" s="26">
        <v>0.51500000000000001</v>
      </c>
      <c r="AF70" s="26">
        <v>0.3</v>
      </c>
      <c r="AI70" s="26">
        <v>0.27</v>
      </c>
      <c r="AL70" s="26">
        <v>0.44500000000000001</v>
      </c>
      <c r="AO70" s="26">
        <v>0.19500000000000001</v>
      </c>
      <c r="AR70" s="26">
        <v>0.2</v>
      </c>
      <c r="AU70" s="26">
        <v>0.21</v>
      </c>
      <c r="AX70" s="26">
        <v>0.01</v>
      </c>
      <c r="BA70" s="26">
        <v>0</v>
      </c>
    </row>
    <row r="71" spans="1:53" s="28" customFormat="1" ht="21" x14ac:dyDescent="0.35">
      <c r="A71" s="1"/>
      <c r="B71" s="2"/>
      <c r="C71" s="2"/>
      <c r="D71" s="2"/>
      <c r="E71" s="2"/>
      <c r="F71" s="2"/>
      <c r="G71" s="2"/>
      <c r="H71" s="2"/>
      <c r="I71" s="40">
        <v>3900</v>
      </c>
      <c r="J71" s="26">
        <v>0.70784171699999998</v>
      </c>
      <c r="K71" s="26">
        <v>0.44</v>
      </c>
      <c r="N71" s="26">
        <v>0.58499999999999996</v>
      </c>
      <c r="Q71" s="26">
        <v>0.35</v>
      </c>
      <c r="T71" s="26">
        <v>0.34</v>
      </c>
      <c r="W71" s="26">
        <v>0</v>
      </c>
      <c r="Z71" s="26">
        <v>0</v>
      </c>
      <c r="AC71" s="26">
        <v>0.51</v>
      </c>
      <c r="AF71" s="26">
        <v>0.28999999999999998</v>
      </c>
      <c r="AI71" s="26">
        <v>0.26</v>
      </c>
      <c r="AL71" s="26">
        <v>0.435</v>
      </c>
      <c r="AO71" s="26">
        <v>0.185</v>
      </c>
      <c r="AR71" s="26">
        <v>0.19</v>
      </c>
      <c r="AU71" s="26">
        <v>0.2</v>
      </c>
      <c r="AX71" s="26">
        <v>0.01</v>
      </c>
      <c r="BA71" s="26">
        <v>0</v>
      </c>
    </row>
    <row r="72" spans="1:53" s="28" customFormat="1" ht="21" x14ac:dyDescent="0.35">
      <c r="A72" s="1"/>
      <c r="B72" s="2"/>
      <c r="C72" s="2" t="s">
        <v>75</v>
      </c>
      <c r="D72" s="2"/>
      <c r="E72" s="2"/>
      <c r="F72" s="2"/>
      <c r="G72" s="2"/>
      <c r="H72" s="2"/>
      <c r="I72" s="40">
        <v>3960</v>
      </c>
      <c r="J72" s="26">
        <v>0.70242817999999996</v>
      </c>
      <c r="K72" s="26">
        <v>0.44</v>
      </c>
      <c r="N72" s="26">
        <v>0.57999999999999996</v>
      </c>
      <c r="Q72" s="26">
        <v>0.35</v>
      </c>
      <c r="T72" s="26">
        <v>0.34</v>
      </c>
      <c r="W72" s="26">
        <v>0</v>
      </c>
      <c r="Z72" s="26">
        <v>0</v>
      </c>
      <c r="AC72" s="26">
        <v>0.5</v>
      </c>
      <c r="AF72" s="26">
        <v>0.28499999999999998</v>
      </c>
      <c r="AI72" s="26">
        <v>0.255</v>
      </c>
      <c r="AL72" s="26">
        <v>0.42499999999999999</v>
      </c>
      <c r="AO72" s="26">
        <v>0.17499999999999999</v>
      </c>
      <c r="AR72" s="26">
        <v>0.18</v>
      </c>
      <c r="AU72" s="26">
        <v>0.19</v>
      </c>
      <c r="AX72" s="26">
        <v>0.01</v>
      </c>
      <c r="BA72" s="26">
        <v>0</v>
      </c>
    </row>
    <row r="73" spans="1:53" s="28" customFormat="1" ht="21" x14ac:dyDescent="0.35">
      <c r="A73" s="1"/>
      <c r="B73" s="2"/>
      <c r="C73" s="2" t="s">
        <v>76</v>
      </c>
      <c r="D73" s="2"/>
      <c r="E73" s="2"/>
      <c r="F73" s="2"/>
      <c r="G73" s="2"/>
      <c r="H73" s="2"/>
      <c r="I73" s="40">
        <v>4020</v>
      </c>
      <c r="J73" s="26">
        <v>0.69671545000000001</v>
      </c>
      <c r="K73" s="26">
        <v>0.44</v>
      </c>
      <c r="N73" s="26">
        <v>0.57499999999999996</v>
      </c>
      <c r="Q73" s="26">
        <v>0.34</v>
      </c>
      <c r="T73" s="26">
        <v>0.33</v>
      </c>
      <c r="W73" s="26">
        <v>0</v>
      </c>
      <c r="Z73" s="26">
        <v>0</v>
      </c>
      <c r="AC73" s="26">
        <v>0.5</v>
      </c>
      <c r="AF73" s="26">
        <v>0.28000000000000003</v>
      </c>
      <c r="AI73" s="26">
        <v>0.25</v>
      </c>
      <c r="AL73" s="26">
        <v>0.41499999999999998</v>
      </c>
      <c r="AO73" s="26">
        <v>0.17</v>
      </c>
      <c r="AR73" s="26">
        <v>0.17</v>
      </c>
      <c r="AU73" s="26">
        <v>0.18</v>
      </c>
      <c r="AX73" s="26">
        <v>0.01</v>
      </c>
      <c r="BA73" s="26">
        <v>0</v>
      </c>
    </row>
    <row r="74" spans="1:53" s="28" customFormat="1" ht="21" x14ac:dyDescent="0.35">
      <c r="A74" s="1"/>
      <c r="B74" s="2"/>
      <c r="C74" s="2" t="s">
        <v>77</v>
      </c>
      <c r="D74" s="2"/>
      <c r="E74" s="2"/>
      <c r="F74" s="2"/>
      <c r="G74" s="2"/>
      <c r="H74" s="2"/>
      <c r="I74" s="40">
        <v>4080</v>
      </c>
      <c r="J74" s="26">
        <v>0.6925647425</v>
      </c>
      <c r="K74" s="26">
        <v>0.44</v>
      </c>
      <c r="N74" s="26">
        <v>0.56999999999999995</v>
      </c>
      <c r="Q74" s="26">
        <v>0.34</v>
      </c>
      <c r="T74" s="26">
        <v>0.33</v>
      </c>
      <c r="W74" s="26">
        <v>0</v>
      </c>
      <c r="Z74" s="26">
        <v>0</v>
      </c>
      <c r="AC74" s="26">
        <v>0.49</v>
      </c>
      <c r="AF74" s="26">
        <v>0.27</v>
      </c>
      <c r="AI74" s="26">
        <v>0.24</v>
      </c>
      <c r="AL74" s="26">
        <v>0.40500000000000003</v>
      </c>
      <c r="AO74" s="26">
        <v>0.16</v>
      </c>
      <c r="AR74" s="26">
        <v>0.16</v>
      </c>
      <c r="AU74" s="26">
        <v>0.17</v>
      </c>
      <c r="AX74" s="26">
        <v>0.01</v>
      </c>
      <c r="BA74" s="26">
        <v>0</v>
      </c>
    </row>
    <row r="75" spans="1:53" s="28" customFormat="1" ht="21" x14ac:dyDescent="0.35">
      <c r="A75" s="1"/>
      <c r="B75" s="2"/>
      <c r="C75" s="2"/>
      <c r="D75" s="2"/>
      <c r="E75" s="2"/>
      <c r="F75" s="2"/>
      <c r="G75" s="2"/>
      <c r="H75" s="2"/>
      <c r="I75" s="40">
        <v>4140</v>
      </c>
      <c r="J75" s="26">
        <v>0.68789888300000002</v>
      </c>
      <c r="K75" s="26">
        <v>0.44</v>
      </c>
      <c r="N75" s="26">
        <v>0.56499999999999995</v>
      </c>
      <c r="Q75" s="26">
        <v>0.33</v>
      </c>
      <c r="T75" s="26">
        <v>0.32</v>
      </c>
      <c r="W75" s="26">
        <v>0</v>
      </c>
      <c r="Z75" s="26">
        <v>0</v>
      </c>
      <c r="AC75" s="26">
        <v>0.48499999999999999</v>
      </c>
      <c r="AF75" s="26">
        <v>0.26500000000000001</v>
      </c>
      <c r="AI75" s="26">
        <v>0.23499999999999999</v>
      </c>
      <c r="AL75" s="26">
        <v>0.39500000000000002</v>
      </c>
      <c r="AO75" s="26">
        <v>0.15</v>
      </c>
      <c r="AR75" s="26">
        <v>0.15</v>
      </c>
      <c r="AU75" s="26">
        <v>0.16</v>
      </c>
      <c r="AX75" s="26">
        <v>0.01</v>
      </c>
      <c r="BA75" s="26">
        <v>0.01</v>
      </c>
    </row>
    <row r="76" spans="1:53" s="28" customFormat="1" ht="21" x14ac:dyDescent="0.35">
      <c r="A76" s="1"/>
      <c r="B76" s="2"/>
      <c r="C76" s="2"/>
      <c r="D76" s="2"/>
      <c r="E76" s="2"/>
      <c r="F76" s="2"/>
      <c r="G76" s="2"/>
      <c r="H76" s="2"/>
      <c r="I76" s="40">
        <v>4200</v>
      </c>
      <c r="J76" s="26">
        <v>0.68227928550000005</v>
      </c>
      <c r="K76" s="26">
        <v>0.43</v>
      </c>
      <c r="N76" s="26">
        <v>0.56000000000000005</v>
      </c>
      <c r="Q76" s="26">
        <v>0.32500000000000001</v>
      </c>
      <c r="T76" s="26">
        <v>0.32</v>
      </c>
      <c r="W76" s="26">
        <v>5.0000000000000001E-3</v>
      </c>
      <c r="Z76" s="26">
        <v>0.01</v>
      </c>
      <c r="AC76" s="26">
        <v>0.48</v>
      </c>
      <c r="AF76" s="26">
        <v>0.26</v>
      </c>
      <c r="AI76" s="26">
        <v>0.23</v>
      </c>
      <c r="AL76" s="26">
        <v>0.38500000000000001</v>
      </c>
      <c r="AO76" s="26">
        <v>0.14000000000000001</v>
      </c>
      <c r="AR76" s="26">
        <v>0.14000000000000001</v>
      </c>
      <c r="AU76" s="26">
        <v>0.15</v>
      </c>
      <c r="AX76" s="26">
        <v>0.01</v>
      </c>
      <c r="BA76" s="26">
        <v>0.01</v>
      </c>
    </row>
    <row r="77" spans="1:53" s="28" customFormat="1" ht="21" x14ac:dyDescent="0.35">
      <c r="A77" s="1"/>
      <c r="B77" s="2"/>
      <c r="C77" s="2"/>
      <c r="D77" s="2"/>
      <c r="E77" s="2"/>
      <c r="F77" s="2"/>
      <c r="G77" s="2"/>
      <c r="H77" s="2"/>
      <c r="I77" s="40">
        <v>4260</v>
      </c>
      <c r="J77" s="26">
        <v>0.67561867649999996</v>
      </c>
      <c r="K77" s="26">
        <v>0.43</v>
      </c>
      <c r="N77" s="26">
        <v>0.55500000000000005</v>
      </c>
      <c r="Q77" s="26">
        <v>0.32</v>
      </c>
      <c r="T77" s="26">
        <v>0.31</v>
      </c>
      <c r="W77" s="26">
        <v>0.01</v>
      </c>
      <c r="Z77" s="26">
        <v>0.01</v>
      </c>
      <c r="AC77" s="26">
        <v>0.47</v>
      </c>
      <c r="AF77" s="26">
        <v>0.25</v>
      </c>
      <c r="AI77" s="26">
        <v>0.22500000000000001</v>
      </c>
      <c r="AL77" s="26">
        <v>0.375</v>
      </c>
      <c r="AO77" s="26">
        <v>0.13</v>
      </c>
      <c r="AR77" s="26">
        <v>0.13</v>
      </c>
      <c r="AU77" s="26">
        <v>0.14000000000000001</v>
      </c>
      <c r="AX77" s="26">
        <v>0.01</v>
      </c>
      <c r="BA77" s="26">
        <v>0.01</v>
      </c>
    </row>
    <row r="78" spans="1:53" s="28" customFormat="1" ht="21" x14ac:dyDescent="0.35">
      <c r="A78" s="1"/>
      <c r="B78" s="2"/>
      <c r="C78" s="2"/>
      <c r="D78" s="2"/>
      <c r="E78" s="2"/>
      <c r="F78" s="2"/>
      <c r="G78" s="2"/>
      <c r="H78" s="2"/>
      <c r="I78" s="40">
        <v>4320</v>
      </c>
      <c r="J78" s="26">
        <v>0.66879483449999999</v>
      </c>
      <c r="K78" s="26">
        <v>0.43</v>
      </c>
      <c r="N78" s="26">
        <v>0.55000000000000004</v>
      </c>
      <c r="Q78" s="26">
        <v>0.315</v>
      </c>
      <c r="T78" s="26">
        <v>0.30499999999999999</v>
      </c>
      <c r="W78" s="26">
        <v>0.01</v>
      </c>
      <c r="Z78" s="26">
        <v>0.01</v>
      </c>
      <c r="AC78" s="26">
        <v>0.46500000000000002</v>
      </c>
      <c r="AF78" s="26">
        <v>0.245</v>
      </c>
      <c r="AI78" s="26">
        <v>0.22</v>
      </c>
      <c r="AL78" s="26">
        <v>0.36499999999999999</v>
      </c>
      <c r="AO78" s="26">
        <v>0.12</v>
      </c>
      <c r="AR78" s="26">
        <v>0.12</v>
      </c>
      <c r="AU78" s="26">
        <v>0.13</v>
      </c>
      <c r="AX78" s="26">
        <v>0.01</v>
      </c>
      <c r="BA78" s="26">
        <v>0.01</v>
      </c>
    </row>
    <row r="79" spans="1:53" s="28" customFormat="1" ht="21" x14ac:dyDescent="0.35">
      <c r="A79" s="1"/>
      <c r="B79" s="2"/>
      <c r="C79" s="2"/>
      <c r="D79" s="2"/>
      <c r="E79" s="2"/>
      <c r="F79" s="2"/>
      <c r="G79" s="2"/>
      <c r="H79" s="2"/>
      <c r="I79" s="40">
        <v>4380</v>
      </c>
      <c r="J79" s="26">
        <v>0.66416453149999999</v>
      </c>
      <c r="K79" s="26">
        <v>0.43</v>
      </c>
      <c r="N79" s="26">
        <v>0.54500000000000004</v>
      </c>
      <c r="Q79" s="26">
        <v>0.31</v>
      </c>
      <c r="T79" s="26">
        <v>0.3</v>
      </c>
      <c r="W79" s="26">
        <v>0.01</v>
      </c>
      <c r="Z79" s="26">
        <v>0.01</v>
      </c>
      <c r="AC79" s="26">
        <v>0.46</v>
      </c>
      <c r="AF79" s="26">
        <v>0.24</v>
      </c>
      <c r="AI79" s="26">
        <v>0.21</v>
      </c>
      <c r="AL79" s="26">
        <v>0.35499999999999998</v>
      </c>
      <c r="AO79" s="26">
        <v>0.11</v>
      </c>
      <c r="AR79" s="26">
        <v>0.11</v>
      </c>
      <c r="AU79" s="26">
        <v>0.125</v>
      </c>
      <c r="AX79" s="26">
        <v>0.01</v>
      </c>
      <c r="BA79" s="26">
        <v>0.01</v>
      </c>
    </row>
    <row r="80" spans="1:53" s="28" customFormat="1" ht="21" x14ac:dyDescent="0.35">
      <c r="A80" s="1"/>
      <c r="B80" s="2"/>
      <c r="C80" s="2"/>
      <c r="D80" s="2"/>
      <c r="E80" s="2"/>
      <c r="F80" s="2"/>
      <c r="G80" s="2"/>
      <c r="H80" s="2"/>
      <c r="I80" s="40">
        <v>4440</v>
      </c>
      <c r="J80" s="26">
        <v>0.65749462950000004</v>
      </c>
      <c r="K80" s="26">
        <v>0.42499999999999999</v>
      </c>
      <c r="N80" s="26">
        <v>0.54</v>
      </c>
      <c r="Q80" s="26">
        <v>0.30499999999999999</v>
      </c>
      <c r="T80" s="26">
        <v>0.29499999999999998</v>
      </c>
      <c r="W80" s="26">
        <v>0.01</v>
      </c>
      <c r="Z80" s="26">
        <v>0.01</v>
      </c>
      <c r="AC80" s="26">
        <v>0.45</v>
      </c>
      <c r="AF80" s="26">
        <v>0.23</v>
      </c>
      <c r="AI80" s="26">
        <v>0.20499999999999999</v>
      </c>
      <c r="AL80" s="26">
        <v>0.34499999999999997</v>
      </c>
      <c r="AO80" s="26">
        <v>0.1</v>
      </c>
      <c r="AR80" s="26">
        <v>0.1</v>
      </c>
      <c r="AU80" s="26">
        <v>0.115</v>
      </c>
      <c r="AX80" s="26">
        <v>0.01</v>
      </c>
      <c r="BA80" s="26">
        <v>0.01</v>
      </c>
    </row>
    <row r="81" spans="1:53" s="28" customFormat="1" ht="21" x14ac:dyDescent="0.35">
      <c r="A81" s="1"/>
      <c r="B81" s="2"/>
      <c r="C81" s="2"/>
      <c r="D81" s="2"/>
      <c r="E81" s="2"/>
      <c r="F81" s="2"/>
      <c r="G81" s="2"/>
      <c r="H81" s="2"/>
      <c r="I81" s="40">
        <v>4500</v>
      </c>
      <c r="J81" s="26">
        <v>0.65373038800000005</v>
      </c>
      <c r="K81" s="26">
        <v>0.42</v>
      </c>
      <c r="N81" s="26">
        <v>0.53500000000000003</v>
      </c>
      <c r="Q81" s="26">
        <v>0.3</v>
      </c>
      <c r="T81" s="26">
        <v>0.28999999999999998</v>
      </c>
      <c r="W81" s="26">
        <v>0.01</v>
      </c>
      <c r="Z81" s="26">
        <v>0.01</v>
      </c>
      <c r="AC81" s="26">
        <v>0.44500000000000001</v>
      </c>
      <c r="AF81" s="26">
        <v>0.22500000000000001</v>
      </c>
      <c r="AI81" s="26">
        <v>0.2</v>
      </c>
      <c r="AL81" s="26">
        <v>0.33500000000000002</v>
      </c>
      <c r="AO81" s="26">
        <v>0.09</v>
      </c>
      <c r="AR81" s="26">
        <v>0.09</v>
      </c>
      <c r="AU81" s="26">
        <v>0.105</v>
      </c>
      <c r="AX81" s="26">
        <v>0.01</v>
      </c>
      <c r="BA81" s="26">
        <v>0.01</v>
      </c>
    </row>
    <row r="82" spans="1:53" s="28" customFormat="1" ht="21" x14ac:dyDescent="0.35">
      <c r="A82" s="1"/>
      <c r="B82" s="2"/>
      <c r="C82" s="2"/>
      <c r="D82" s="2"/>
      <c r="E82" s="2"/>
      <c r="F82" s="2"/>
      <c r="G82" s="2"/>
      <c r="H82" s="2"/>
      <c r="I82" s="40">
        <v>4560</v>
      </c>
      <c r="J82" s="26">
        <v>0.64854917499999998</v>
      </c>
      <c r="K82" s="26">
        <v>0.42</v>
      </c>
      <c r="N82" s="26">
        <v>0.53</v>
      </c>
      <c r="Q82" s="26">
        <v>0.3</v>
      </c>
      <c r="T82" s="26">
        <v>0.28499999999999998</v>
      </c>
      <c r="W82" s="26">
        <v>0.01</v>
      </c>
      <c r="Z82" s="26">
        <v>0.01</v>
      </c>
      <c r="AC82" s="26">
        <v>0.44</v>
      </c>
      <c r="AF82" s="26">
        <v>0.22</v>
      </c>
      <c r="AI82" s="26">
        <v>0.19</v>
      </c>
      <c r="AL82" s="26">
        <v>0.33</v>
      </c>
      <c r="AO82" s="26">
        <v>0.08</v>
      </c>
      <c r="AR82" s="26">
        <v>0.08</v>
      </c>
      <c r="AU82" s="26">
        <v>9.5000000000000001E-2</v>
      </c>
      <c r="AX82" s="26">
        <v>0.01</v>
      </c>
      <c r="BA82" s="26">
        <v>0.01</v>
      </c>
    </row>
    <row r="83" spans="1:53" s="28" customFormat="1" ht="21" x14ac:dyDescent="0.35">
      <c r="A83" s="1"/>
      <c r="B83" s="2"/>
      <c r="C83" s="2"/>
      <c r="D83" s="2"/>
      <c r="E83" s="2"/>
      <c r="F83" s="2"/>
      <c r="G83" s="2"/>
      <c r="H83" s="2"/>
      <c r="I83" s="40">
        <v>4620</v>
      </c>
      <c r="J83" s="26">
        <v>0.64313301150000002</v>
      </c>
      <c r="K83" s="26">
        <v>0.42</v>
      </c>
      <c r="N83" s="26">
        <v>0.52500000000000002</v>
      </c>
      <c r="Q83" s="26">
        <v>0.28999999999999998</v>
      </c>
      <c r="T83" s="26">
        <v>0.28000000000000003</v>
      </c>
      <c r="W83" s="26">
        <v>0.01</v>
      </c>
      <c r="Z83" s="26">
        <v>0.01</v>
      </c>
      <c r="AC83" s="26">
        <v>0.43</v>
      </c>
      <c r="AF83" s="26">
        <v>0.21</v>
      </c>
      <c r="AI83" s="26">
        <v>0.185</v>
      </c>
      <c r="AL83" s="26">
        <v>0.32</v>
      </c>
      <c r="AO83" s="26">
        <v>7.4999999999999997E-2</v>
      </c>
      <c r="AR83" s="26">
        <v>7.0000000000000007E-2</v>
      </c>
      <c r="AU83" s="26">
        <v>0.09</v>
      </c>
      <c r="AX83" s="26">
        <v>0.01</v>
      </c>
      <c r="BA83" s="26">
        <v>0.01</v>
      </c>
    </row>
    <row r="84" spans="1:53" s="28" customFormat="1" ht="21" x14ac:dyDescent="0.35">
      <c r="A84" s="1"/>
      <c r="B84" s="2"/>
      <c r="C84" s="2"/>
      <c r="D84" s="2"/>
      <c r="E84" s="2"/>
      <c r="F84" s="2"/>
      <c r="G84" s="2"/>
      <c r="H84" s="2"/>
      <c r="I84" s="40">
        <v>4680</v>
      </c>
      <c r="J84" s="26">
        <v>0.63927786050000002</v>
      </c>
      <c r="K84" s="26">
        <v>0.42</v>
      </c>
      <c r="N84" s="26">
        <v>0.52</v>
      </c>
      <c r="Q84" s="26">
        <v>0.28999999999999998</v>
      </c>
      <c r="T84" s="26">
        <v>0.27500000000000002</v>
      </c>
      <c r="W84" s="26">
        <v>0.01</v>
      </c>
      <c r="Z84" s="26">
        <v>0.01</v>
      </c>
      <c r="AC84" s="26">
        <v>0.42499999999999999</v>
      </c>
      <c r="AF84" s="26">
        <v>0.20499999999999999</v>
      </c>
      <c r="AI84" s="26">
        <v>0.18</v>
      </c>
      <c r="AL84" s="26">
        <v>0.31</v>
      </c>
      <c r="AO84" s="26">
        <v>6.5000000000000002E-2</v>
      </c>
      <c r="AR84" s="26">
        <v>0.06</v>
      </c>
      <c r="AU84" s="26">
        <v>0.08</v>
      </c>
      <c r="AX84" s="26">
        <v>0.01</v>
      </c>
      <c r="BA84" s="26">
        <v>0.01</v>
      </c>
    </row>
    <row r="85" spans="1:53" s="28" customFormat="1" ht="21" x14ac:dyDescent="0.35">
      <c r="A85" s="1"/>
      <c r="B85" s="2"/>
      <c r="C85" s="2"/>
      <c r="D85" s="2"/>
      <c r="E85" s="2"/>
      <c r="F85" s="2"/>
      <c r="G85" s="2"/>
      <c r="H85" s="2"/>
      <c r="I85" s="40">
        <v>4740</v>
      </c>
      <c r="J85" s="26">
        <v>0.63304735249999999</v>
      </c>
      <c r="K85" s="26">
        <v>0.41</v>
      </c>
      <c r="N85" s="26">
        <v>0.51500000000000001</v>
      </c>
      <c r="Q85" s="26">
        <v>0.28000000000000003</v>
      </c>
      <c r="T85" s="26">
        <v>0.27</v>
      </c>
      <c r="W85" s="26">
        <v>0.01</v>
      </c>
      <c r="Z85" s="26">
        <v>0.01</v>
      </c>
      <c r="AC85" s="26">
        <v>0.42</v>
      </c>
      <c r="AF85" s="26">
        <v>0.2</v>
      </c>
      <c r="AI85" s="26">
        <v>0.17</v>
      </c>
      <c r="AL85" s="26">
        <v>0.3</v>
      </c>
      <c r="AO85" s="26">
        <v>5.5E-2</v>
      </c>
      <c r="AR85" s="26">
        <v>5.5E-2</v>
      </c>
      <c r="AU85" s="26">
        <v>7.0000000000000007E-2</v>
      </c>
      <c r="AX85" s="26">
        <v>0.01</v>
      </c>
      <c r="BA85" s="26">
        <v>0.01</v>
      </c>
    </row>
    <row r="86" spans="1:53" s="28" customFormat="1" ht="21" x14ac:dyDescent="0.35">
      <c r="A86" s="1"/>
      <c r="B86" s="2"/>
      <c r="C86" s="2"/>
      <c r="D86" s="2"/>
      <c r="E86" s="2"/>
      <c r="F86" s="2"/>
      <c r="G86" s="2"/>
      <c r="H86" s="2"/>
      <c r="I86" s="40">
        <v>4800</v>
      </c>
      <c r="J86" s="26">
        <v>0.62458532749999995</v>
      </c>
      <c r="K86" s="26">
        <v>0.41</v>
      </c>
      <c r="N86" s="26">
        <v>0.51</v>
      </c>
      <c r="Q86" s="26">
        <v>0.27500000000000002</v>
      </c>
      <c r="T86" s="26">
        <v>0.26500000000000001</v>
      </c>
      <c r="W86" s="26">
        <v>0.01</v>
      </c>
      <c r="Z86" s="26">
        <v>0.01</v>
      </c>
      <c r="AC86" s="26">
        <v>0.41</v>
      </c>
      <c r="AF86" s="26">
        <v>0.19</v>
      </c>
      <c r="AI86" s="26">
        <v>0.16500000000000001</v>
      </c>
      <c r="AL86" s="26">
        <v>0.28999999999999998</v>
      </c>
      <c r="AO86" s="26">
        <v>4.4999999999999998E-2</v>
      </c>
      <c r="AR86" s="26">
        <v>4.4999999999999998E-2</v>
      </c>
      <c r="AU86" s="26">
        <v>6.5000000000000002E-2</v>
      </c>
      <c r="AX86" s="26">
        <v>0.01</v>
      </c>
      <c r="BA86" s="26">
        <v>0.01</v>
      </c>
    </row>
    <row r="87" spans="1:53" s="28" customFormat="1" ht="21" x14ac:dyDescent="0.35">
      <c r="A87" s="1"/>
      <c r="B87" s="2"/>
      <c r="C87" s="2"/>
      <c r="D87" s="2"/>
      <c r="E87" s="2"/>
      <c r="F87" s="2"/>
      <c r="G87" s="2"/>
      <c r="H87" s="2"/>
      <c r="I87" s="40">
        <v>4860</v>
      </c>
      <c r="J87" s="26">
        <v>0.62197017600000004</v>
      </c>
      <c r="K87" s="26">
        <v>0.41</v>
      </c>
      <c r="N87" s="26">
        <v>0.505</v>
      </c>
      <c r="Q87" s="26">
        <v>0.27</v>
      </c>
      <c r="T87" s="26">
        <v>0.26</v>
      </c>
      <c r="W87" s="26">
        <v>0.01</v>
      </c>
      <c r="Z87" s="26">
        <v>0.01</v>
      </c>
      <c r="AC87" s="26">
        <v>0.40500000000000003</v>
      </c>
      <c r="AF87" s="26">
        <v>0.185</v>
      </c>
      <c r="AI87" s="26">
        <v>0.16</v>
      </c>
      <c r="AL87" s="26">
        <v>0.28000000000000003</v>
      </c>
      <c r="AO87" s="26">
        <v>3.5000000000000003E-2</v>
      </c>
      <c r="AR87" s="26">
        <v>3.5000000000000003E-2</v>
      </c>
      <c r="AU87" s="26">
        <v>5.5E-2</v>
      </c>
      <c r="AX87" s="26">
        <v>0.01</v>
      </c>
      <c r="BA87" s="26">
        <v>0.01</v>
      </c>
    </row>
    <row r="88" spans="1:53" s="28" customFormat="1" ht="21" x14ac:dyDescent="0.35">
      <c r="A88" s="1"/>
      <c r="B88" s="2"/>
      <c r="C88" s="2"/>
      <c r="D88" s="2"/>
      <c r="E88" s="2"/>
      <c r="F88" s="2"/>
      <c r="G88" s="2"/>
      <c r="H88" s="2"/>
      <c r="I88" s="40">
        <v>4920</v>
      </c>
      <c r="J88" s="26">
        <v>0.61324330400000004</v>
      </c>
      <c r="K88" s="26">
        <v>0.41</v>
      </c>
      <c r="N88" s="26">
        <v>0.5</v>
      </c>
      <c r="Q88" s="26">
        <v>0.26</v>
      </c>
      <c r="T88" s="26">
        <v>0.25</v>
      </c>
      <c r="W88" s="26">
        <v>0.01</v>
      </c>
      <c r="Z88" s="26">
        <v>0.01</v>
      </c>
      <c r="AC88" s="26">
        <v>0.39500000000000002</v>
      </c>
      <c r="AF88" s="26">
        <v>0.17499999999999999</v>
      </c>
      <c r="AI88" s="26">
        <v>0.15</v>
      </c>
      <c r="AL88" s="26">
        <v>0.27500000000000002</v>
      </c>
      <c r="AO88" s="26">
        <v>0.03</v>
      </c>
      <c r="AR88" s="26">
        <v>0.03</v>
      </c>
      <c r="AU88" s="26">
        <v>0.05</v>
      </c>
      <c r="AX88" s="26">
        <v>0.01</v>
      </c>
      <c r="BA88" s="26">
        <v>0.01</v>
      </c>
    </row>
    <row r="89" spans="1:53" s="28" customFormat="1" ht="21" x14ac:dyDescent="0.35">
      <c r="A89" s="1"/>
      <c r="B89" s="2"/>
      <c r="C89" s="2"/>
      <c r="D89" s="2"/>
      <c r="E89" s="2"/>
      <c r="F89" s="2"/>
      <c r="G89" s="2"/>
      <c r="H89" s="2"/>
      <c r="I89" s="40">
        <v>4980</v>
      </c>
      <c r="J89" s="26">
        <v>0.60834188850000004</v>
      </c>
      <c r="K89" s="26">
        <v>0.40500000000000003</v>
      </c>
      <c r="N89" s="26">
        <v>0.49</v>
      </c>
      <c r="Q89" s="26">
        <v>0.255</v>
      </c>
      <c r="T89" s="26">
        <v>0.25</v>
      </c>
      <c r="W89" s="26">
        <v>0.01</v>
      </c>
      <c r="Z89" s="26">
        <v>0.01</v>
      </c>
      <c r="AC89" s="26">
        <v>0.39</v>
      </c>
      <c r="AF89" s="26">
        <v>0.17</v>
      </c>
      <c r="AI89" s="26">
        <v>0.14499999999999999</v>
      </c>
      <c r="AL89" s="26">
        <v>0.26500000000000001</v>
      </c>
      <c r="AO89" s="26">
        <v>0.02</v>
      </c>
      <c r="AR89" s="26">
        <v>0.02</v>
      </c>
      <c r="AU89" s="26">
        <v>0.04</v>
      </c>
      <c r="AX89" s="26">
        <v>0.01</v>
      </c>
      <c r="BA89" s="26">
        <v>0.01</v>
      </c>
    </row>
    <row r="90" spans="1:53" s="28" customFormat="1" ht="21" x14ac:dyDescent="0.35">
      <c r="A90" s="1"/>
      <c r="B90" s="2"/>
      <c r="C90" s="2"/>
      <c r="D90" s="2"/>
      <c r="E90" s="2"/>
      <c r="F90" s="2"/>
      <c r="G90" s="2"/>
      <c r="H90" s="2"/>
      <c r="I90" s="40">
        <v>5040</v>
      </c>
      <c r="J90" s="26">
        <v>0.60433542100000004</v>
      </c>
      <c r="K90" s="26">
        <v>0.40500000000000003</v>
      </c>
      <c r="N90" s="26">
        <v>0.495</v>
      </c>
      <c r="Q90" s="26">
        <v>0.25</v>
      </c>
      <c r="T90" s="26">
        <v>0.25</v>
      </c>
      <c r="W90" s="26">
        <v>0.01</v>
      </c>
      <c r="Z90" s="26">
        <v>0.01</v>
      </c>
      <c r="AC90" s="26">
        <v>0.38</v>
      </c>
      <c r="AF90" s="26">
        <v>0.16</v>
      </c>
      <c r="AI90" s="26">
        <v>0.14000000000000001</v>
      </c>
      <c r="AL90" s="26">
        <v>0.26</v>
      </c>
      <c r="AO90" s="26">
        <v>0.01</v>
      </c>
      <c r="AR90" s="26">
        <v>0.01</v>
      </c>
      <c r="AU90" s="26">
        <v>3.5000000000000003E-2</v>
      </c>
      <c r="AX90" s="26">
        <v>0.01</v>
      </c>
      <c r="BA90" s="26">
        <v>0.01</v>
      </c>
    </row>
    <row r="91" spans="1:53" s="28" customFormat="1" ht="21" x14ac:dyDescent="0.35">
      <c r="A91" s="1"/>
      <c r="B91" s="2"/>
      <c r="C91" s="2"/>
      <c r="D91" s="2"/>
      <c r="E91" s="2"/>
      <c r="F91" s="2"/>
      <c r="G91" s="2"/>
      <c r="H91" s="2"/>
      <c r="I91" s="40">
        <v>5100</v>
      </c>
      <c r="J91" s="26">
        <v>0.63627905650000005</v>
      </c>
      <c r="K91" s="26">
        <v>0.41</v>
      </c>
      <c r="N91" s="26">
        <v>0.505</v>
      </c>
      <c r="Q91" s="26">
        <v>0.26</v>
      </c>
      <c r="T91" s="26">
        <v>0.255</v>
      </c>
      <c r="W91" s="26">
        <v>0.01</v>
      </c>
      <c r="Z91" s="26">
        <v>0.01</v>
      </c>
      <c r="AC91" s="26">
        <v>0.38500000000000001</v>
      </c>
      <c r="AF91" s="26">
        <v>0.16</v>
      </c>
      <c r="AI91" s="26">
        <v>0.14000000000000001</v>
      </c>
      <c r="AL91" s="26">
        <v>0.255</v>
      </c>
      <c r="AO91" s="26">
        <v>0.01</v>
      </c>
      <c r="AR91" s="26">
        <v>0.01</v>
      </c>
      <c r="AU91" s="26">
        <v>0.03</v>
      </c>
      <c r="AX91" s="26">
        <v>0.01</v>
      </c>
      <c r="BA91" s="26">
        <v>0.01</v>
      </c>
    </row>
    <row r="92" spans="1:53" s="28" customFormat="1" ht="21" x14ac:dyDescent="0.35">
      <c r="A92" s="1"/>
      <c r="B92" s="2"/>
      <c r="C92" s="2"/>
      <c r="D92" s="2"/>
      <c r="E92" s="2"/>
      <c r="F92" s="2"/>
      <c r="G92" s="2"/>
      <c r="H92" s="2"/>
      <c r="I92" s="40">
        <v>5160</v>
      </c>
      <c r="J92" s="26">
        <v>0.72243380700000004</v>
      </c>
      <c r="K92" s="26">
        <v>0.41499999999999998</v>
      </c>
      <c r="N92" s="26">
        <v>0.51500000000000001</v>
      </c>
      <c r="Q92" s="26">
        <v>0.27</v>
      </c>
      <c r="T92" s="26">
        <v>0.26500000000000001</v>
      </c>
      <c r="W92" s="26">
        <v>0.01</v>
      </c>
      <c r="Z92" s="26">
        <v>0.01</v>
      </c>
      <c r="AC92" s="26">
        <v>0.40500000000000003</v>
      </c>
      <c r="AF92" s="26">
        <v>0.17499999999999999</v>
      </c>
      <c r="AI92" s="26">
        <v>0.14499999999999999</v>
      </c>
      <c r="AL92" s="26">
        <v>0.26</v>
      </c>
      <c r="AO92" s="26">
        <v>0.01</v>
      </c>
      <c r="AR92" s="26">
        <v>0.01</v>
      </c>
      <c r="AU92" s="26">
        <v>0.03</v>
      </c>
      <c r="AX92" s="26">
        <v>0.01</v>
      </c>
      <c r="BA92" s="26">
        <v>0.01</v>
      </c>
    </row>
    <row r="93" spans="1:53" s="28" customFormat="1" ht="21" x14ac:dyDescent="0.35">
      <c r="A93" s="1"/>
      <c r="B93" s="2"/>
      <c r="C93" s="2"/>
      <c r="D93" s="2"/>
      <c r="E93" s="2"/>
      <c r="F93" s="2"/>
      <c r="G93" s="2"/>
      <c r="H93" s="2"/>
      <c r="I93" s="40">
        <v>5220</v>
      </c>
      <c r="J93" s="26">
        <v>0.88645867</v>
      </c>
      <c r="K93" s="26">
        <v>0.42</v>
      </c>
      <c r="N93" s="26">
        <v>0.53500000000000003</v>
      </c>
      <c r="Q93" s="26">
        <v>0.28499999999999998</v>
      </c>
      <c r="T93" s="26">
        <v>0.28499999999999998</v>
      </c>
      <c r="W93" s="26">
        <v>0.01</v>
      </c>
      <c r="Z93" s="26">
        <v>0.01</v>
      </c>
      <c r="AC93" s="26">
        <v>0.41499999999999998</v>
      </c>
      <c r="AF93" s="26">
        <v>0.19500000000000001</v>
      </c>
      <c r="AI93" s="26">
        <v>0.16500000000000001</v>
      </c>
      <c r="AL93" s="26">
        <v>0.27500000000000002</v>
      </c>
      <c r="AO93" s="26">
        <v>0.02</v>
      </c>
      <c r="AR93" s="26">
        <v>2.5000000000000001E-2</v>
      </c>
      <c r="AU93" s="26">
        <v>3.5000000000000003E-2</v>
      </c>
      <c r="AX93" s="26">
        <v>0.01</v>
      </c>
      <c r="BA93" s="26">
        <v>0.01</v>
      </c>
    </row>
    <row r="94" spans="1:53" s="28" customFormat="1" ht="21" x14ac:dyDescent="0.35">
      <c r="A94" s="1"/>
      <c r="B94" s="2"/>
      <c r="C94" s="2"/>
      <c r="D94" s="2"/>
      <c r="E94" s="2"/>
      <c r="F94" s="2"/>
      <c r="G94" s="2"/>
      <c r="H94" s="2"/>
      <c r="I94" s="40">
        <v>5280</v>
      </c>
      <c r="J94" s="26">
        <v>0.95691467600000002</v>
      </c>
      <c r="K94" s="26">
        <v>0.43</v>
      </c>
      <c r="N94" s="26">
        <v>0.55000000000000004</v>
      </c>
      <c r="Q94" s="26">
        <v>0.30499999999999999</v>
      </c>
      <c r="T94" s="26">
        <v>0.3</v>
      </c>
      <c r="W94" s="26">
        <v>0.01</v>
      </c>
      <c r="Z94" s="26">
        <v>0.01</v>
      </c>
      <c r="AC94" s="26">
        <v>0.435</v>
      </c>
      <c r="AF94" s="26">
        <v>0.20499999999999999</v>
      </c>
      <c r="AI94" s="26">
        <v>0.185</v>
      </c>
      <c r="AL94" s="26">
        <v>0.29499999999999998</v>
      </c>
      <c r="AO94" s="26">
        <v>3.5000000000000003E-2</v>
      </c>
      <c r="AR94" s="26">
        <v>0.04</v>
      </c>
      <c r="AU94" s="26">
        <v>4.4999999999999998E-2</v>
      </c>
      <c r="AX94" s="26">
        <v>0.01</v>
      </c>
      <c r="BA94" s="26">
        <v>0.01</v>
      </c>
    </row>
    <row r="95" spans="1:53" s="28" customFormat="1" ht="21" x14ac:dyDescent="0.35">
      <c r="A95" s="1"/>
      <c r="B95" s="2"/>
      <c r="C95" s="2"/>
      <c r="D95" s="2"/>
      <c r="E95" s="2"/>
      <c r="F95" s="2"/>
      <c r="G95" s="2"/>
      <c r="H95" s="2"/>
      <c r="I95" s="40">
        <v>5340</v>
      </c>
      <c r="J95" s="26">
        <v>0.96235854350000005</v>
      </c>
      <c r="K95" s="26">
        <v>0.43</v>
      </c>
      <c r="N95" s="26">
        <v>0.56000000000000005</v>
      </c>
      <c r="Q95" s="26">
        <v>0.315</v>
      </c>
      <c r="T95" s="26">
        <v>0.315</v>
      </c>
      <c r="W95" s="26">
        <v>0.01</v>
      </c>
      <c r="Z95" s="26">
        <v>0.01</v>
      </c>
      <c r="AC95" s="26">
        <v>0.45500000000000002</v>
      </c>
      <c r="AF95" s="26">
        <v>0.22500000000000001</v>
      </c>
      <c r="AI95" s="26">
        <v>0.20499999999999999</v>
      </c>
      <c r="AL95" s="26">
        <v>0.315</v>
      </c>
      <c r="AO95" s="26">
        <v>5.5E-2</v>
      </c>
      <c r="AR95" s="26">
        <v>5.5E-2</v>
      </c>
      <c r="AU95" s="26">
        <v>6.5000000000000002E-2</v>
      </c>
      <c r="AX95" s="26">
        <v>0.01</v>
      </c>
      <c r="BA95" s="26">
        <v>0.01</v>
      </c>
    </row>
    <row r="96" spans="1:53" s="28" customFormat="1" ht="21" x14ac:dyDescent="0.35">
      <c r="A96" s="1"/>
      <c r="B96" s="2"/>
      <c r="C96" s="2"/>
      <c r="D96" s="2"/>
      <c r="E96" s="2"/>
      <c r="F96" s="2"/>
      <c r="G96" s="2"/>
      <c r="H96" s="2"/>
      <c r="I96" s="40">
        <v>5400</v>
      </c>
      <c r="J96" s="26">
        <v>0.95159572650000002</v>
      </c>
      <c r="K96" s="26">
        <v>0.43</v>
      </c>
      <c r="N96" s="26">
        <v>0.56000000000000005</v>
      </c>
      <c r="Q96" s="26">
        <v>0.32</v>
      </c>
      <c r="T96" s="26">
        <v>0.32</v>
      </c>
      <c r="W96" s="26">
        <v>0.01</v>
      </c>
      <c r="Z96" s="26">
        <v>0.01</v>
      </c>
      <c r="AC96" s="26">
        <v>0.47</v>
      </c>
      <c r="AF96" s="26">
        <v>0.245</v>
      </c>
      <c r="AI96" s="26">
        <v>0.215</v>
      </c>
      <c r="AL96" s="26">
        <v>0.32500000000000001</v>
      </c>
      <c r="AO96" s="26">
        <v>7.0000000000000007E-2</v>
      </c>
      <c r="AR96" s="26">
        <v>7.4999999999999997E-2</v>
      </c>
      <c r="AU96" s="26">
        <v>8.5000000000000006E-2</v>
      </c>
      <c r="AX96" s="26">
        <v>0.01</v>
      </c>
      <c r="BA96" s="26">
        <v>0.01</v>
      </c>
    </row>
    <row r="97" spans="1:53" s="28" customFormat="1" ht="21" x14ac:dyDescent="0.35">
      <c r="A97" s="1"/>
      <c r="B97" s="2"/>
      <c r="C97" s="2"/>
      <c r="D97" s="2"/>
      <c r="E97" s="2"/>
      <c r="F97" s="2"/>
      <c r="G97" s="2"/>
      <c r="H97" s="2"/>
      <c r="I97" s="40">
        <v>5460</v>
      </c>
      <c r="J97" s="26">
        <v>0.93536401400000002</v>
      </c>
      <c r="K97" s="26">
        <v>0.43</v>
      </c>
      <c r="N97" s="26">
        <v>0.56000000000000005</v>
      </c>
      <c r="Q97" s="26">
        <v>0.32</v>
      </c>
      <c r="T97" s="26">
        <v>0.32</v>
      </c>
      <c r="W97" s="26">
        <v>0.01</v>
      </c>
      <c r="Z97" s="26">
        <v>0.01</v>
      </c>
      <c r="AC97" s="26">
        <v>0.47</v>
      </c>
      <c r="AF97" s="26">
        <v>0.25</v>
      </c>
      <c r="AI97" s="26">
        <v>0.22</v>
      </c>
      <c r="AL97" s="26">
        <v>0.34</v>
      </c>
      <c r="AO97" s="26">
        <v>8.5000000000000006E-2</v>
      </c>
      <c r="AR97" s="26">
        <v>0.09</v>
      </c>
      <c r="AU97" s="26">
        <v>0.105</v>
      </c>
      <c r="AX97" s="26">
        <v>0.01</v>
      </c>
      <c r="BA97" s="26">
        <v>0.01</v>
      </c>
    </row>
    <row r="98" spans="1:53" s="28" customFormat="1" ht="21" x14ac:dyDescent="0.35">
      <c r="A98" s="1"/>
      <c r="B98" s="2"/>
      <c r="C98" s="2"/>
      <c r="D98" s="2"/>
      <c r="E98" s="2"/>
      <c r="F98" s="2"/>
      <c r="G98" s="2"/>
      <c r="H98" s="2"/>
      <c r="I98" s="40">
        <v>5520</v>
      </c>
      <c r="J98" s="26">
        <v>0.91732077950000002</v>
      </c>
      <c r="K98" s="26">
        <v>0.43</v>
      </c>
      <c r="N98" s="26">
        <v>0.55500000000000005</v>
      </c>
      <c r="Q98" s="26">
        <v>0.32</v>
      </c>
      <c r="T98" s="26">
        <v>0.31</v>
      </c>
      <c r="W98" s="26">
        <v>0.01</v>
      </c>
      <c r="Z98" s="26">
        <v>0.01</v>
      </c>
      <c r="AC98" s="26">
        <v>0.47</v>
      </c>
      <c r="AF98" s="26">
        <v>0.25</v>
      </c>
      <c r="AI98" s="26">
        <v>0.22</v>
      </c>
      <c r="AL98" s="26">
        <v>0.34</v>
      </c>
      <c r="AO98" s="26">
        <v>0.09</v>
      </c>
      <c r="AR98" s="26">
        <v>0.1</v>
      </c>
      <c r="AU98" s="26">
        <v>0.115</v>
      </c>
      <c r="AX98" s="26">
        <v>0.01</v>
      </c>
      <c r="BA98" s="26">
        <v>0.01</v>
      </c>
    </row>
    <row r="99" spans="1:53" s="28" customFormat="1" ht="21" x14ac:dyDescent="0.35">
      <c r="A99" s="1"/>
      <c r="B99" s="2"/>
      <c r="C99" s="2"/>
      <c r="D99" s="2"/>
      <c r="E99" s="2"/>
      <c r="F99" s="2"/>
      <c r="G99" s="2"/>
      <c r="H99" s="2"/>
      <c r="I99" s="40">
        <v>5580</v>
      </c>
      <c r="J99" s="26">
        <v>0.89941411049999997</v>
      </c>
      <c r="K99" s="26">
        <v>0.43</v>
      </c>
      <c r="N99" s="26">
        <v>0.55000000000000004</v>
      </c>
      <c r="Q99" s="26">
        <v>0.32</v>
      </c>
      <c r="T99" s="26">
        <v>0.31</v>
      </c>
      <c r="W99" s="26">
        <v>0.01</v>
      </c>
      <c r="Z99" s="26">
        <v>0.01</v>
      </c>
      <c r="AC99" s="26">
        <v>0.47</v>
      </c>
      <c r="AF99" s="26">
        <v>0.25</v>
      </c>
      <c r="AI99" s="26">
        <v>0.22</v>
      </c>
      <c r="AL99" s="26">
        <v>0.35</v>
      </c>
      <c r="AO99" s="26">
        <v>9.5000000000000001E-2</v>
      </c>
      <c r="AR99" s="26">
        <v>0.105</v>
      </c>
      <c r="AU99" s="26">
        <v>0.12</v>
      </c>
      <c r="AX99" s="26">
        <v>0.01</v>
      </c>
      <c r="BA99" s="26">
        <v>0.01</v>
      </c>
    </row>
    <row r="100" spans="1:53" s="28" customFormat="1" ht="21" x14ac:dyDescent="0.35">
      <c r="A100" s="1"/>
      <c r="B100" s="2"/>
      <c r="C100" s="2"/>
      <c r="D100" s="2"/>
      <c r="E100" s="2"/>
      <c r="F100" s="2"/>
      <c r="G100" s="2"/>
      <c r="H100" s="2"/>
      <c r="I100" s="40">
        <v>5640</v>
      </c>
      <c r="J100" s="26">
        <v>0.88511956199999997</v>
      </c>
      <c r="K100" s="26">
        <v>0.43</v>
      </c>
      <c r="N100" s="26">
        <v>0.55500000000000005</v>
      </c>
      <c r="Q100" s="26">
        <v>0.32</v>
      </c>
      <c r="T100" s="26">
        <v>0.31</v>
      </c>
      <c r="W100" s="26">
        <v>0.01</v>
      </c>
      <c r="Z100" s="26">
        <v>0.01</v>
      </c>
      <c r="AC100" s="26">
        <v>0.47</v>
      </c>
      <c r="AF100" s="26">
        <v>0.25</v>
      </c>
      <c r="AI100" s="26">
        <v>0.22</v>
      </c>
      <c r="AL100" s="26">
        <v>0.35</v>
      </c>
      <c r="AO100" s="26">
        <v>0.1</v>
      </c>
      <c r="AR100" s="26">
        <v>0.11</v>
      </c>
      <c r="AU100" s="26">
        <v>0.13</v>
      </c>
      <c r="AX100" s="26">
        <v>0.01</v>
      </c>
      <c r="BA100" s="26">
        <v>0.01</v>
      </c>
    </row>
    <row r="101" spans="1:53" s="28" customFormat="1" ht="21" x14ac:dyDescent="0.35">
      <c r="A101" s="1"/>
      <c r="B101" s="2"/>
      <c r="C101" s="2"/>
      <c r="D101" s="2"/>
      <c r="E101" s="2"/>
      <c r="F101" s="2"/>
      <c r="G101" s="2"/>
      <c r="H101" s="2"/>
      <c r="I101" s="40">
        <v>5700</v>
      </c>
      <c r="J101" s="26">
        <v>0.88125208249999998</v>
      </c>
      <c r="K101" s="26">
        <v>0.435</v>
      </c>
      <c r="N101" s="26">
        <v>0.56499999999999995</v>
      </c>
      <c r="Q101" s="26">
        <v>0.32500000000000001</v>
      </c>
      <c r="T101" s="26">
        <v>0.32500000000000001</v>
      </c>
      <c r="W101" s="26">
        <v>0.01</v>
      </c>
      <c r="Z101" s="26">
        <v>0.01</v>
      </c>
      <c r="AC101" s="26">
        <v>0.48499999999999999</v>
      </c>
      <c r="AF101" s="26">
        <v>0.255</v>
      </c>
      <c r="AI101" s="26">
        <v>0.23</v>
      </c>
      <c r="AL101" s="26">
        <v>0.36499999999999999</v>
      </c>
      <c r="AO101" s="26">
        <v>0.115</v>
      </c>
      <c r="AR101" s="26">
        <v>0.125</v>
      </c>
      <c r="AU101" s="26">
        <v>0.14000000000000001</v>
      </c>
      <c r="AX101" s="26">
        <v>0.01</v>
      </c>
      <c r="BA101" s="26">
        <v>0.01</v>
      </c>
    </row>
    <row r="102" spans="1:53" s="28" customFormat="1" ht="21" x14ac:dyDescent="0.35">
      <c r="A102" s="1"/>
      <c r="B102" s="2"/>
      <c r="C102" s="2"/>
      <c r="D102" s="2"/>
      <c r="E102" s="2"/>
      <c r="F102" s="2"/>
      <c r="G102" s="2"/>
      <c r="H102" s="2"/>
      <c r="I102" s="40">
        <v>5760</v>
      </c>
      <c r="J102" s="26">
        <v>0.94856056799999999</v>
      </c>
      <c r="K102" s="26">
        <v>0.44</v>
      </c>
      <c r="N102" s="26">
        <v>0.58499999999999996</v>
      </c>
      <c r="Q102" s="26">
        <v>0.34499999999999997</v>
      </c>
      <c r="T102" s="26">
        <v>0.34499999999999997</v>
      </c>
      <c r="W102" s="26">
        <v>0.01</v>
      </c>
      <c r="Z102" s="26">
        <v>0.01</v>
      </c>
      <c r="AC102" s="26">
        <v>0.505</v>
      </c>
      <c r="AF102" s="26">
        <v>0.27500000000000002</v>
      </c>
      <c r="AI102" s="26">
        <v>0.245</v>
      </c>
      <c r="AL102" s="26">
        <v>0.39</v>
      </c>
      <c r="AO102" s="26">
        <v>0.13500000000000001</v>
      </c>
      <c r="AR102" s="26">
        <v>0.14499999999999999</v>
      </c>
      <c r="AU102" s="26">
        <v>0.16</v>
      </c>
      <c r="AX102" s="26">
        <v>0.01</v>
      </c>
      <c r="BA102" s="26">
        <v>0.01</v>
      </c>
    </row>
    <row r="103" spans="1:53" s="28" customFormat="1" ht="21" x14ac:dyDescent="0.35">
      <c r="A103" s="1"/>
      <c r="B103" s="2"/>
      <c r="C103" s="2"/>
      <c r="D103" s="2"/>
      <c r="E103" s="2"/>
      <c r="F103" s="2"/>
      <c r="G103" s="2"/>
      <c r="H103" s="2"/>
      <c r="I103" s="40">
        <v>5820</v>
      </c>
      <c r="J103" s="26">
        <v>1.0324894705000001</v>
      </c>
      <c r="K103" s="26">
        <v>0.45</v>
      </c>
      <c r="N103" s="26">
        <v>0.61</v>
      </c>
      <c r="Q103" s="26">
        <v>0.36499999999999999</v>
      </c>
      <c r="T103" s="26">
        <v>0.36499999999999999</v>
      </c>
      <c r="W103" s="26">
        <v>0.01</v>
      </c>
      <c r="Z103" s="26">
        <v>0.01</v>
      </c>
      <c r="AC103" s="26">
        <v>0.53</v>
      </c>
      <c r="AF103" s="26">
        <v>0.30499999999999999</v>
      </c>
      <c r="AI103" s="26">
        <v>0.27500000000000002</v>
      </c>
      <c r="AL103" s="26">
        <v>0.42</v>
      </c>
      <c r="AO103" s="26">
        <v>0.16</v>
      </c>
      <c r="AR103" s="26">
        <v>0.17499999999999999</v>
      </c>
      <c r="AU103" s="26">
        <v>0.19</v>
      </c>
      <c r="AX103" s="26">
        <v>0.01</v>
      </c>
      <c r="BA103" s="26">
        <v>0.01</v>
      </c>
    </row>
    <row r="104" spans="1:53" s="28" customFormat="1" ht="21" x14ac:dyDescent="0.35">
      <c r="A104" s="1"/>
      <c r="B104" s="2"/>
      <c r="C104" s="2"/>
      <c r="D104" s="2"/>
      <c r="E104" s="2"/>
      <c r="F104" s="2"/>
      <c r="G104" s="2"/>
      <c r="H104" s="2"/>
      <c r="I104" s="40">
        <v>5880</v>
      </c>
      <c r="J104" s="26">
        <v>1.0553741409999999</v>
      </c>
      <c r="K104" s="26">
        <v>0.46</v>
      </c>
      <c r="N104" s="26">
        <v>0.63500000000000001</v>
      </c>
      <c r="Q104" s="26">
        <v>0.39</v>
      </c>
      <c r="T104" s="26">
        <v>0.39</v>
      </c>
      <c r="W104" s="26">
        <v>0.01</v>
      </c>
      <c r="Z104" s="26">
        <v>2.5000000000000001E-2</v>
      </c>
      <c r="AC104" s="26">
        <v>0.55500000000000005</v>
      </c>
      <c r="AF104" s="26">
        <v>0.33500000000000002</v>
      </c>
      <c r="AI104" s="26">
        <v>0.30499999999999999</v>
      </c>
      <c r="AL104" s="26">
        <v>0.45500000000000002</v>
      </c>
      <c r="AO104" s="26">
        <v>0.19</v>
      </c>
      <c r="AR104" s="26">
        <v>0.21</v>
      </c>
      <c r="AU104" s="26">
        <v>0.22</v>
      </c>
      <c r="AX104" s="26">
        <v>0.01</v>
      </c>
      <c r="BA104" s="26">
        <v>0.02</v>
      </c>
    </row>
    <row r="105" spans="1:53" s="28" customFormat="1" ht="21" x14ac:dyDescent="0.35">
      <c r="A105" s="1"/>
      <c r="B105" s="2"/>
      <c r="C105" s="2"/>
      <c r="D105" s="2"/>
      <c r="E105" s="2"/>
      <c r="F105" s="2"/>
      <c r="G105" s="2"/>
      <c r="H105" s="2"/>
      <c r="I105" s="40">
        <v>5940</v>
      </c>
      <c r="J105" s="26">
        <v>1.0510495105</v>
      </c>
      <c r="K105" s="26">
        <v>0.47</v>
      </c>
      <c r="N105" s="26">
        <v>0.65500000000000003</v>
      </c>
      <c r="Q105" s="26">
        <v>0.41499999999999998</v>
      </c>
      <c r="T105" s="26">
        <v>0.41499999999999998</v>
      </c>
      <c r="W105" s="26">
        <v>1.4999999999999999E-2</v>
      </c>
      <c r="Z105" s="26">
        <v>3.5000000000000003E-2</v>
      </c>
      <c r="AC105" s="26">
        <v>0.58499999999999996</v>
      </c>
      <c r="AF105" s="26">
        <v>0.36</v>
      </c>
      <c r="AI105" s="26">
        <v>0.33500000000000002</v>
      </c>
      <c r="AL105" s="26">
        <v>0.49</v>
      </c>
      <c r="AO105" s="26">
        <v>0.23</v>
      </c>
      <c r="AR105" s="26">
        <v>0.25</v>
      </c>
      <c r="AU105" s="26">
        <v>0.26</v>
      </c>
      <c r="AX105" s="26">
        <v>2.5000000000000001E-2</v>
      </c>
      <c r="BA105" s="26">
        <v>3.5000000000000003E-2</v>
      </c>
    </row>
    <row r="106" spans="1:53" s="28" customFormat="1" ht="21" x14ac:dyDescent="0.35">
      <c r="A106" s="1"/>
      <c r="B106" s="2"/>
      <c r="C106" s="2"/>
      <c r="D106" s="2"/>
      <c r="E106" s="2"/>
      <c r="F106" s="2"/>
      <c r="G106" s="2"/>
      <c r="H106" s="2"/>
      <c r="I106" s="40">
        <v>6000</v>
      </c>
      <c r="J106" s="26">
        <v>1.0374424435</v>
      </c>
      <c r="K106" s="26">
        <v>0.47</v>
      </c>
      <c r="N106" s="26">
        <v>0.66500000000000004</v>
      </c>
      <c r="Q106" s="26">
        <v>0.43</v>
      </c>
      <c r="T106" s="26">
        <v>0.42499999999999999</v>
      </c>
      <c r="W106" s="26">
        <v>2.5000000000000001E-2</v>
      </c>
      <c r="Z106" s="26">
        <v>5.5E-2</v>
      </c>
      <c r="AC106" s="26">
        <v>0.60499999999999998</v>
      </c>
      <c r="AF106" s="26">
        <v>0.38500000000000001</v>
      </c>
      <c r="AI106" s="26">
        <v>0.35499999999999998</v>
      </c>
      <c r="AL106" s="26">
        <v>0.52500000000000002</v>
      </c>
      <c r="AO106" s="26">
        <v>0.26500000000000001</v>
      </c>
      <c r="AR106" s="26">
        <v>0.28999999999999998</v>
      </c>
      <c r="AU106" s="26">
        <v>0.3</v>
      </c>
      <c r="AX106" s="26">
        <v>4.4999999999999998E-2</v>
      </c>
      <c r="BA106" s="26">
        <v>5.5E-2</v>
      </c>
    </row>
    <row r="107" spans="1:53" s="28" customFormat="1" ht="21" x14ac:dyDescent="0.35">
      <c r="A107" s="1"/>
      <c r="B107" s="2"/>
      <c r="C107" s="2"/>
      <c r="D107" s="2"/>
      <c r="E107" s="2"/>
      <c r="F107" s="2"/>
      <c r="G107" s="2"/>
      <c r="H107" s="2"/>
      <c r="I107" s="40">
        <v>6060</v>
      </c>
      <c r="J107" s="26">
        <v>0.99969492250000003</v>
      </c>
      <c r="K107" s="26">
        <v>0.47499999999999998</v>
      </c>
      <c r="N107" s="26">
        <v>0.67</v>
      </c>
      <c r="Q107" s="26">
        <v>0.44</v>
      </c>
      <c r="T107" s="26">
        <v>0.435</v>
      </c>
      <c r="W107" s="26">
        <v>3.5000000000000003E-2</v>
      </c>
      <c r="Z107" s="26">
        <v>7.4999999999999997E-2</v>
      </c>
      <c r="AC107" s="26">
        <v>0.61499999999999999</v>
      </c>
      <c r="AF107" s="26">
        <v>0.39500000000000002</v>
      </c>
      <c r="AI107" s="26">
        <v>0.375</v>
      </c>
      <c r="AL107" s="26">
        <v>0.54500000000000004</v>
      </c>
      <c r="AO107" s="26">
        <v>0.29499999999999998</v>
      </c>
      <c r="AR107" s="26">
        <v>0.315</v>
      </c>
      <c r="AU107" s="26">
        <v>0.32500000000000001</v>
      </c>
      <c r="AX107" s="26">
        <v>6.5000000000000002E-2</v>
      </c>
      <c r="BA107" s="26">
        <v>8.5000000000000006E-2</v>
      </c>
    </row>
    <row r="108" spans="1:53" s="28" customFormat="1" ht="21" x14ac:dyDescent="0.35">
      <c r="A108" s="1"/>
      <c r="B108" s="2"/>
      <c r="C108" s="2"/>
      <c r="D108" s="2"/>
      <c r="E108" s="2"/>
      <c r="F108" s="2"/>
      <c r="G108" s="2"/>
      <c r="H108" s="2"/>
      <c r="I108" s="40">
        <v>6120</v>
      </c>
      <c r="J108" s="26">
        <v>1.013430303</v>
      </c>
      <c r="K108" s="26">
        <v>0.48</v>
      </c>
      <c r="N108" s="26">
        <v>0.68</v>
      </c>
      <c r="Q108" s="26">
        <v>0.45</v>
      </c>
      <c r="T108" s="26">
        <v>0.44</v>
      </c>
      <c r="W108" s="26">
        <v>4.4999999999999998E-2</v>
      </c>
      <c r="Z108" s="26">
        <v>0.09</v>
      </c>
      <c r="AC108" s="26">
        <v>0.625</v>
      </c>
      <c r="AF108" s="26">
        <v>0.40500000000000003</v>
      </c>
      <c r="AI108" s="26">
        <v>0.38500000000000001</v>
      </c>
      <c r="AL108" s="26">
        <v>0.56499999999999995</v>
      </c>
      <c r="AO108" s="26">
        <v>0.315</v>
      </c>
      <c r="AR108" s="26">
        <v>0.33500000000000002</v>
      </c>
      <c r="AU108" s="26">
        <v>0.35499999999999998</v>
      </c>
      <c r="AX108" s="26">
        <v>8.5000000000000006E-2</v>
      </c>
      <c r="BA108" s="26">
        <v>0.115</v>
      </c>
    </row>
    <row r="109" spans="1:53" s="28" customFormat="1" ht="21" x14ac:dyDescent="0.35">
      <c r="A109" s="1"/>
      <c r="B109" s="2"/>
      <c r="C109" s="2"/>
      <c r="D109" s="2"/>
      <c r="E109" s="2"/>
      <c r="F109" s="2"/>
      <c r="G109" s="2"/>
      <c r="H109" s="2"/>
      <c r="I109" s="40">
        <v>6180</v>
      </c>
      <c r="J109" s="26">
        <v>0.99828181800000004</v>
      </c>
      <c r="K109" s="26">
        <v>0.48</v>
      </c>
      <c r="N109" s="26">
        <v>0.68</v>
      </c>
      <c r="Q109" s="26">
        <v>0.46</v>
      </c>
      <c r="T109" s="26">
        <v>0.45</v>
      </c>
      <c r="W109" s="26">
        <v>0.05</v>
      </c>
      <c r="Z109" s="26">
        <v>0.1</v>
      </c>
      <c r="AC109" s="26">
        <v>0.63</v>
      </c>
      <c r="AF109" s="26">
        <v>0.41499999999999998</v>
      </c>
      <c r="AI109" s="26">
        <v>0.39</v>
      </c>
      <c r="AL109" s="26">
        <v>0.57999999999999996</v>
      </c>
      <c r="AO109" s="26">
        <v>0.33</v>
      </c>
      <c r="AR109" s="26">
        <v>0.34499999999999997</v>
      </c>
      <c r="AU109" s="26">
        <v>0.375</v>
      </c>
      <c r="AX109" s="26">
        <v>0.105</v>
      </c>
      <c r="BA109" s="26">
        <v>0.13500000000000001</v>
      </c>
    </row>
    <row r="110" spans="1:53" s="28" customFormat="1" ht="21" x14ac:dyDescent="0.35">
      <c r="A110" s="1"/>
      <c r="B110" s="2"/>
      <c r="C110" s="2"/>
      <c r="D110" s="2"/>
      <c r="E110" s="2"/>
      <c r="F110" s="2"/>
      <c r="G110" s="2"/>
      <c r="H110" s="2"/>
      <c r="I110" s="40">
        <v>6240</v>
      </c>
      <c r="J110" s="26">
        <v>0.98309090899999996</v>
      </c>
      <c r="K110" s="26">
        <v>0.48</v>
      </c>
      <c r="N110" s="26">
        <v>0.69</v>
      </c>
      <c r="Q110" s="26">
        <v>0.46</v>
      </c>
      <c r="T110" s="26">
        <v>0.45</v>
      </c>
      <c r="W110" s="26">
        <v>0.05</v>
      </c>
      <c r="Z110" s="26">
        <v>0.11</v>
      </c>
      <c r="AC110" s="26">
        <v>0.64</v>
      </c>
      <c r="AF110" s="26">
        <v>0.42</v>
      </c>
      <c r="AI110" s="26">
        <v>0.4</v>
      </c>
      <c r="AL110" s="26">
        <v>0.59499999999999997</v>
      </c>
      <c r="AO110" s="26">
        <v>0.34499999999999997</v>
      </c>
      <c r="AR110" s="26">
        <v>0.35499999999999998</v>
      </c>
      <c r="AU110" s="26">
        <v>0.39500000000000002</v>
      </c>
      <c r="AX110" s="26">
        <v>0.11</v>
      </c>
      <c r="BA110" s="26">
        <v>0.15</v>
      </c>
    </row>
    <row r="111" spans="1:53" s="28" customFormat="1" ht="21" x14ac:dyDescent="0.35">
      <c r="A111" s="1"/>
      <c r="B111" s="2"/>
      <c r="C111" s="2"/>
      <c r="D111" s="2"/>
      <c r="E111" s="2"/>
      <c r="F111" s="2"/>
      <c r="G111" s="2"/>
      <c r="H111" s="2"/>
      <c r="I111" s="40">
        <v>6300</v>
      </c>
      <c r="J111" s="26">
        <v>0.97080909100000001</v>
      </c>
      <c r="K111" s="26">
        <v>0.48499999999999999</v>
      </c>
      <c r="N111" s="26">
        <v>0.69</v>
      </c>
      <c r="Q111" s="26">
        <v>0.46500000000000002</v>
      </c>
      <c r="T111" s="26">
        <v>0.45500000000000002</v>
      </c>
      <c r="W111" s="26">
        <v>0.05</v>
      </c>
      <c r="Z111" s="26">
        <v>0.11</v>
      </c>
      <c r="AC111" s="26">
        <v>0.64</v>
      </c>
      <c r="AF111" s="26">
        <v>0.43</v>
      </c>
      <c r="AI111" s="26">
        <v>0.4</v>
      </c>
      <c r="AL111" s="26">
        <v>0.60499999999999998</v>
      </c>
      <c r="AO111" s="26">
        <v>0.35499999999999998</v>
      </c>
      <c r="AR111" s="26">
        <v>0.36499999999999999</v>
      </c>
      <c r="AU111" s="26">
        <v>0.41499999999999998</v>
      </c>
      <c r="AX111" s="26">
        <v>0.115</v>
      </c>
      <c r="BA111" s="26">
        <v>0.16</v>
      </c>
    </row>
    <row r="112" spans="1:53" s="28" customFormat="1" ht="21" x14ac:dyDescent="0.35">
      <c r="A112" s="1"/>
      <c r="B112" s="2"/>
      <c r="C112" s="2"/>
      <c r="D112" s="2"/>
      <c r="E112" s="2"/>
      <c r="F112" s="2"/>
      <c r="G112" s="2"/>
      <c r="H112" s="2"/>
      <c r="I112" s="40">
        <v>6360</v>
      </c>
      <c r="J112" s="26">
        <v>0.95822424250000005</v>
      </c>
      <c r="K112" s="26">
        <v>0.49</v>
      </c>
      <c r="N112" s="26">
        <v>0.69</v>
      </c>
      <c r="Q112" s="26">
        <v>0.47</v>
      </c>
      <c r="T112" s="26">
        <v>0.46</v>
      </c>
      <c r="W112" s="26">
        <v>3.5000000000000003E-2</v>
      </c>
      <c r="Z112" s="26">
        <v>0.11</v>
      </c>
      <c r="AC112" s="26">
        <v>0.65</v>
      </c>
      <c r="AF112" s="26">
        <v>0.43</v>
      </c>
      <c r="AI112" s="26">
        <v>0.4</v>
      </c>
      <c r="AL112" s="26">
        <v>0.61499999999999999</v>
      </c>
      <c r="AO112" s="26">
        <v>0.36499999999999999</v>
      </c>
      <c r="AR112" s="26">
        <v>0.375</v>
      </c>
      <c r="AU112" s="26">
        <v>0.43</v>
      </c>
      <c r="AX112" s="26">
        <v>0.11</v>
      </c>
      <c r="BA112" s="26">
        <v>0.16</v>
      </c>
    </row>
    <row r="113" spans="1:53" s="28" customFormat="1" ht="21" x14ac:dyDescent="0.35">
      <c r="A113" s="1"/>
      <c r="B113" s="2"/>
      <c r="C113" s="2"/>
      <c r="D113" s="2"/>
      <c r="E113" s="2"/>
      <c r="F113" s="2"/>
      <c r="G113" s="2"/>
      <c r="H113" s="2"/>
      <c r="I113" s="40">
        <v>6420</v>
      </c>
      <c r="J113" s="26">
        <v>0.94862727300000005</v>
      </c>
      <c r="K113" s="26">
        <v>0.49</v>
      </c>
      <c r="N113" s="26">
        <v>0.7</v>
      </c>
      <c r="Q113" s="26">
        <v>0.47</v>
      </c>
      <c r="T113" s="26">
        <v>0.46</v>
      </c>
      <c r="W113" s="26">
        <v>2.5000000000000001E-2</v>
      </c>
      <c r="Z113" s="26">
        <v>0.1</v>
      </c>
      <c r="AC113" s="26">
        <v>0.65</v>
      </c>
      <c r="AF113" s="26">
        <v>0.43</v>
      </c>
      <c r="AI113" s="26">
        <v>0.41</v>
      </c>
      <c r="AL113" s="26">
        <v>0.62</v>
      </c>
      <c r="AO113" s="26">
        <v>0.37</v>
      </c>
      <c r="AR113" s="26">
        <v>0.38</v>
      </c>
      <c r="AU113" s="26">
        <v>0.44</v>
      </c>
      <c r="AX113" s="26">
        <v>0.105</v>
      </c>
      <c r="BA113" s="26">
        <v>0.16</v>
      </c>
    </row>
    <row r="114" spans="1:53" s="28" customFormat="1" ht="21" x14ac:dyDescent="0.35">
      <c r="A114" s="1"/>
      <c r="B114" s="2"/>
      <c r="C114" s="2"/>
      <c r="D114" s="2"/>
      <c r="E114" s="2"/>
      <c r="F114" s="2"/>
      <c r="G114" s="2"/>
      <c r="H114" s="2"/>
      <c r="I114" s="40">
        <v>6480</v>
      </c>
      <c r="J114" s="26">
        <v>0.93775151499999998</v>
      </c>
      <c r="K114" s="26">
        <v>0.49</v>
      </c>
      <c r="N114" s="26">
        <v>0.7</v>
      </c>
      <c r="Q114" s="26">
        <v>0.47</v>
      </c>
      <c r="T114" s="26">
        <v>0.46</v>
      </c>
      <c r="W114" s="26">
        <v>1.4999999999999999E-2</v>
      </c>
      <c r="Z114" s="26">
        <v>0.1</v>
      </c>
      <c r="AC114" s="26">
        <v>0.65</v>
      </c>
      <c r="AF114" s="26">
        <v>0.44</v>
      </c>
      <c r="AI114" s="26">
        <v>0.41</v>
      </c>
      <c r="AL114" s="26">
        <v>0.63</v>
      </c>
      <c r="AO114" s="26">
        <v>0.38</v>
      </c>
      <c r="AR114" s="26">
        <v>0.39</v>
      </c>
      <c r="AU114" s="26">
        <v>0.45</v>
      </c>
      <c r="AX114" s="26">
        <v>0.1</v>
      </c>
      <c r="BA114" s="26">
        <v>0.16</v>
      </c>
    </row>
    <row r="115" spans="1:53" s="28" customFormat="1" ht="21" x14ac:dyDescent="0.35">
      <c r="A115" s="1"/>
      <c r="B115" s="2"/>
      <c r="C115" s="2"/>
      <c r="D115" s="2"/>
      <c r="E115" s="2"/>
      <c r="F115" s="2"/>
      <c r="G115" s="2"/>
      <c r="H115" s="2"/>
      <c r="I115" s="40">
        <v>6540</v>
      </c>
      <c r="J115" s="26">
        <v>0.92842121200000005</v>
      </c>
      <c r="K115" s="26">
        <v>0.49</v>
      </c>
      <c r="N115" s="26">
        <v>0.7</v>
      </c>
      <c r="Q115" s="26">
        <v>0.47</v>
      </c>
      <c r="T115" s="26">
        <v>0.46</v>
      </c>
      <c r="W115" s="26">
        <v>0.01</v>
      </c>
      <c r="Z115" s="26">
        <v>9.5000000000000001E-2</v>
      </c>
      <c r="AC115" s="26">
        <v>0.65</v>
      </c>
      <c r="AF115" s="26">
        <v>0.44</v>
      </c>
      <c r="AI115" s="26">
        <v>0.41</v>
      </c>
      <c r="AL115" s="26">
        <v>0.63500000000000001</v>
      </c>
      <c r="AO115" s="26">
        <v>0.38</v>
      </c>
      <c r="AR115" s="26">
        <v>0.39</v>
      </c>
      <c r="AU115" s="26">
        <v>0.46</v>
      </c>
      <c r="AX115" s="26">
        <v>0.09</v>
      </c>
      <c r="BA115" s="26">
        <v>0.16</v>
      </c>
    </row>
    <row r="116" spans="1:53" s="28" customFormat="1" ht="21" x14ac:dyDescent="0.35">
      <c r="A116" s="1"/>
      <c r="B116" s="2"/>
      <c r="C116" s="2"/>
      <c r="D116" s="2"/>
      <c r="E116" s="2"/>
      <c r="F116" s="2"/>
      <c r="G116" s="2"/>
      <c r="H116" s="2"/>
      <c r="I116" s="40">
        <v>6600</v>
      </c>
      <c r="J116" s="26">
        <v>0.9182666665</v>
      </c>
      <c r="K116" s="26">
        <v>0.49</v>
      </c>
      <c r="N116" s="26">
        <v>0.7</v>
      </c>
      <c r="Q116" s="26">
        <v>0.47</v>
      </c>
      <c r="T116" s="26">
        <v>0.46</v>
      </c>
      <c r="W116" s="26">
        <v>0</v>
      </c>
      <c r="Z116" s="26">
        <v>0.09</v>
      </c>
      <c r="AC116" s="26">
        <v>0.65</v>
      </c>
      <c r="AF116" s="26">
        <v>0.44</v>
      </c>
      <c r="AI116" s="26">
        <v>0.41</v>
      </c>
      <c r="AL116" s="26">
        <v>0.64</v>
      </c>
      <c r="AO116" s="26">
        <v>0.39</v>
      </c>
      <c r="AR116" s="26">
        <v>0.4</v>
      </c>
      <c r="AU116" s="26">
        <v>0.46</v>
      </c>
      <c r="AX116" s="26">
        <v>0.09</v>
      </c>
      <c r="BA116" s="26">
        <v>0.16</v>
      </c>
    </row>
    <row r="117" spans="1:53" s="28" customFormat="1" ht="21" x14ac:dyDescent="0.35">
      <c r="A117" s="1"/>
      <c r="B117" s="2"/>
      <c r="C117" s="2"/>
      <c r="D117" s="2"/>
      <c r="E117" s="2"/>
      <c r="F117" s="2"/>
      <c r="G117" s="2"/>
      <c r="H117" s="2"/>
      <c r="I117" s="40">
        <v>6660</v>
      </c>
      <c r="J117" s="26">
        <v>0.90931212100000003</v>
      </c>
      <c r="K117" s="26">
        <v>0.49</v>
      </c>
      <c r="N117" s="26">
        <v>0.7</v>
      </c>
      <c r="Q117" s="26">
        <v>0.47</v>
      </c>
      <c r="T117" s="26">
        <v>0.46</v>
      </c>
      <c r="W117" s="26">
        <v>0</v>
      </c>
      <c r="Z117" s="26">
        <v>0.08</v>
      </c>
      <c r="AC117" s="26">
        <v>0.65</v>
      </c>
      <c r="AF117" s="26">
        <v>0.44</v>
      </c>
      <c r="AI117" s="26">
        <v>0.41</v>
      </c>
      <c r="AL117" s="26">
        <v>0.64</v>
      </c>
      <c r="AO117" s="26">
        <v>0.39</v>
      </c>
      <c r="AR117" s="26">
        <v>0.4</v>
      </c>
      <c r="AU117" s="26">
        <v>0.47</v>
      </c>
      <c r="AX117" s="26">
        <v>0.08</v>
      </c>
      <c r="BA117" s="26">
        <v>0.15</v>
      </c>
    </row>
    <row r="118" spans="1:53" s="28" customFormat="1" ht="21" x14ac:dyDescent="0.35">
      <c r="A118" s="1"/>
      <c r="B118" s="2"/>
      <c r="C118" s="2"/>
      <c r="D118" s="2"/>
      <c r="E118" s="2"/>
      <c r="F118" s="2"/>
      <c r="G118" s="2"/>
      <c r="H118" s="2"/>
      <c r="I118" s="40">
        <v>6720</v>
      </c>
      <c r="J118" s="26">
        <v>0.90199393949999995</v>
      </c>
      <c r="K118" s="26">
        <v>0.49</v>
      </c>
      <c r="N118" s="26">
        <v>0.69499999999999995</v>
      </c>
      <c r="Q118" s="26">
        <v>0.47</v>
      </c>
      <c r="T118" s="26">
        <v>0.46</v>
      </c>
      <c r="W118" s="26">
        <v>0</v>
      </c>
      <c r="Z118" s="26">
        <v>7.4999999999999997E-2</v>
      </c>
      <c r="AC118" s="26">
        <v>0.65</v>
      </c>
      <c r="AF118" s="26">
        <v>0.44</v>
      </c>
      <c r="AI118" s="26">
        <v>0.41</v>
      </c>
      <c r="AL118" s="26">
        <v>0.64500000000000002</v>
      </c>
      <c r="AO118" s="26">
        <v>0.39</v>
      </c>
      <c r="AR118" s="26">
        <v>0.4</v>
      </c>
      <c r="AU118" s="26">
        <v>0.47</v>
      </c>
      <c r="AX118" s="26">
        <v>0.08</v>
      </c>
      <c r="BA118" s="26">
        <v>0.14499999999999999</v>
      </c>
    </row>
    <row r="119" spans="1:53" s="28" customFormat="1" ht="21" x14ac:dyDescent="0.35">
      <c r="A119" s="1"/>
      <c r="B119" s="2"/>
      <c r="C119" s="2"/>
      <c r="D119" s="2"/>
      <c r="E119" s="2"/>
      <c r="F119" s="2"/>
      <c r="G119" s="2"/>
      <c r="H119" s="2"/>
      <c r="I119" s="40">
        <v>6780</v>
      </c>
      <c r="J119" s="26">
        <v>0.89389393949999996</v>
      </c>
      <c r="K119" s="26">
        <v>0.49</v>
      </c>
      <c r="N119" s="26">
        <v>0.69</v>
      </c>
      <c r="Q119" s="26">
        <v>0.47</v>
      </c>
      <c r="T119" s="26">
        <v>0.45500000000000002</v>
      </c>
      <c r="W119" s="26">
        <v>0</v>
      </c>
      <c r="Z119" s="26">
        <v>7.0000000000000007E-2</v>
      </c>
      <c r="AC119" s="26">
        <v>0.65</v>
      </c>
      <c r="AF119" s="26">
        <v>0.44</v>
      </c>
      <c r="AI119" s="26">
        <v>0.41</v>
      </c>
      <c r="AL119" s="26">
        <v>0.65</v>
      </c>
      <c r="AO119" s="26">
        <v>0.4</v>
      </c>
      <c r="AR119" s="26">
        <v>0.40500000000000003</v>
      </c>
      <c r="AU119" s="26">
        <v>0.47</v>
      </c>
      <c r="AX119" s="26">
        <v>7.0000000000000007E-2</v>
      </c>
      <c r="BA119" s="26">
        <v>0.14000000000000001</v>
      </c>
    </row>
    <row r="120" spans="1:53" s="28" customFormat="1" ht="21" x14ac:dyDescent="0.35">
      <c r="A120" s="1"/>
      <c r="B120" s="2"/>
      <c r="C120" s="2"/>
      <c r="D120" s="2"/>
      <c r="E120" s="2"/>
      <c r="F120" s="2"/>
      <c r="G120" s="2"/>
      <c r="H120" s="2"/>
      <c r="I120" s="40">
        <v>6840</v>
      </c>
      <c r="J120" s="26">
        <v>0.88646060599999998</v>
      </c>
      <c r="K120" s="26">
        <v>0.49</v>
      </c>
      <c r="N120" s="26">
        <v>0.69</v>
      </c>
      <c r="Q120" s="26">
        <v>0.46500000000000002</v>
      </c>
      <c r="T120" s="26">
        <v>0.45</v>
      </c>
      <c r="W120" s="26">
        <v>0</v>
      </c>
      <c r="Z120" s="26">
        <v>0.06</v>
      </c>
      <c r="AC120" s="26">
        <v>0.65</v>
      </c>
      <c r="AF120" s="26">
        <v>0.44</v>
      </c>
      <c r="AI120" s="26">
        <v>0.4</v>
      </c>
      <c r="AL120" s="26">
        <v>0.65</v>
      </c>
      <c r="AO120" s="26">
        <v>0.4</v>
      </c>
      <c r="AR120" s="26">
        <v>0.41</v>
      </c>
      <c r="AU120" s="26">
        <v>0.47</v>
      </c>
      <c r="AX120" s="26">
        <v>6.5000000000000002E-2</v>
      </c>
      <c r="BA120" s="26">
        <v>0.13</v>
      </c>
    </row>
    <row r="121" spans="1:53" s="28" customFormat="1" ht="21" x14ac:dyDescent="0.35">
      <c r="A121" s="1"/>
      <c r="B121" s="2"/>
      <c r="C121" s="2"/>
      <c r="D121" s="2"/>
      <c r="E121" s="2"/>
      <c r="F121" s="2"/>
      <c r="G121" s="2"/>
      <c r="H121" s="2"/>
      <c r="I121" s="40">
        <v>6900</v>
      </c>
      <c r="J121" s="26">
        <v>0.87845454550000002</v>
      </c>
      <c r="K121" s="26">
        <v>0.48</v>
      </c>
      <c r="N121" s="26">
        <v>0.69</v>
      </c>
      <c r="Q121" s="26">
        <v>0.46</v>
      </c>
      <c r="T121" s="26">
        <v>0.45</v>
      </c>
      <c r="W121" s="26">
        <v>0</v>
      </c>
      <c r="Z121" s="26">
        <v>5.5E-2</v>
      </c>
      <c r="AC121" s="26">
        <v>0.65</v>
      </c>
      <c r="AF121" s="26">
        <v>0.435</v>
      </c>
      <c r="AI121" s="26">
        <v>0.4</v>
      </c>
      <c r="AL121" s="26">
        <v>0.65</v>
      </c>
      <c r="AO121" s="26">
        <v>0.4</v>
      </c>
      <c r="AR121" s="26">
        <v>0.41</v>
      </c>
      <c r="AU121" s="26">
        <v>0.47</v>
      </c>
      <c r="AX121" s="26">
        <v>0.06</v>
      </c>
      <c r="BA121" s="26">
        <v>0.125</v>
      </c>
    </row>
    <row r="122" spans="1:53" s="28" customFormat="1" ht="21" x14ac:dyDescent="0.35">
      <c r="A122" s="1"/>
      <c r="B122" s="2"/>
      <c r="C122" s="2"/>
      <c r="D122" s="2"/>
      <c r="E122" s="2"/>
      <c r="F122" s="2"/>
      <c r="G122" s="2"/>
      <c r="H122" s="2"/>
      <c r="I122" s="40">
        <v>6960</v>
      </c>
      <c r="J122" s="26">
        <v>0.87180606049999998</v>
      </c>
      <c r="K122" s="26">
        <v>0.48</v>
      </c>
      <c r="N122" s="26">
        <v>0.69</v>
      </c>
      <c r="Q122" s="26">
        <v>0.46</v>
      </c>
      <c r="T122" s="26">
        <v>0.45</v>
      </c>
      <c r="W122" s="26">
        <v>0</v>
      </c>
      <c r="Z122" s="26">
        <v>0.05</v>
      </c>
      <c r="AC122" s="26">
        <v>0.65</v>
      </c>
      <c r="AF122" s="26">
        <v>0.43</v>
      </c>
      <c r="AI122" s="26">
        <v>0.4</v>
      </c>
      <c r="AL122" s="26">
        <v>0.65</v>
      </c>
      <c r="AO122" s="26">
        <v>0.4</v>
      </c>
      <c r="AR122" s="26">
        <v>0.41</v>
      </c>
      <c r="AU122" s="26">
        <v>0.47</v>
      </c>
      <c r="AX122" s="26">
        <v>0.05</v>
      </c>
      <c r="BA122" s="26">
        <v>0.12</v>
      </c>
    </row>
    <row r="123" spans="1:53" s="28" customFormat="1" ht="21" x14ac:dyDescent="0.35">
      <c r="A123" s="1"/>
      <c r="B123" s="2"/>
      <c r="C123" s="2"/>
      <c r="D123" s="2"/>
      <c r="E123" s="2"/>
      <c r="F123" s="2"/>
      <c r="G123" s="2"/>
      <c r="H123" s="2"/>
      <c r="I123" s="40">
        <v>7020</v>
      </c>
      <c r="J123" s="26">
        <v>0.8650333335</v>
      </c>
      <c r="K123" s="26">
        <v>0.48</v>
      </c>
      <c r="N123" s="26">
        <v>0.68500000000000005</v>
      </c>
      <c r="Q123" s="26">
        <v>0.46</v>
      </c>
      <c r="T123" s="26">
        <v>0.45</v>
      </c>
      <c r="W123" s="26">
        <v>0</v>
      </c>
      <c r="Z123" s="26">
        <v>0.04</v>
      </c>
      <c r="AC123" s="26">
        <v>0.65</v>
      </c>
      <c r="AF123" s="26">
        <v>0.43</v>
      </c>
      <c r="AI123" s="26">
        <v>0.4</v>
      </c>
      <c r="AL123" s="26">
        <v>0.65</v>
      </c>
      <c r="AO123" s="26">
        <v>0.4</v>
      </c>
      <c r="AR123" s="26">
        <v>0.40500000000000003</v>
      </c>
      <c r="AU123" s="26">
        <v>0.46</v>
      </c>
      <c r="AX123" s="26">
        <v>0.04</v>
      </c>
      <c r="BA123" s="26">
        <v>0.11</v>
      </c>
    </row>
    <row r="124" spans="1:53" s="28" customFormat="1" ht="21" x14ac:dyDescent="0.35">
      <c r="A124" s="1"/>
      <c r="B124" s="2"/>
      <c r="C124" s="2"/>
      <c r="D124" s="2"/>
      <c r="E124" s="2"/>
      <c r="F124" s="2"/>
      <c r="G124" s="2"/>
      <c r="H124" s="2"/>
      <c r="I124" s="40">
        <v>7080</v>
      </c>
      <c r="J124" s="26">
        <v>0.85885757549999997</v>
      </c>
      <c r="K124" s="26">
        <v>0.48</v>
      </c>
      <c r="N124" s="26">
        <v>0.68</v>
      </c>
      <c r="Q124" s="26">
        <v>0.45500000000000002</v>
      </c>
      <c r="T124" s="26">
        <v>0.44</v>
      </c>
      <c r="W124" s="26">
        <v>0</v>
      </c>
      <c r="Z124" s="26">
        <v>0.04</v>
      </c>
      <c r="AC124" s="26">
        <v>0.64500000000000002</v>
      </c>
      <c r="AF124" s="26">
        <v>0.43</v>
      </c>
      <c r="AI124" s="26">
        <v>0.39500000000000002</v>
      </c>
      <c r="AL124" s="26">
        <v>0.65</v>
      </c>
      <c r="AO124" s="26">
        <v>0.39</v>
      </c>
      <c r="AR124" s="26">
        <v>0.4</v>
      </c>
      <c r="AU124" s="26">
        <v>0.46</v>
      </c>
      <c r="AX124" s="26">
        <v>0.03</v>
      </c>
      <c r="BA124" s="26">
        <v>0.1</v>
      </c>
    </row>
    <row r="125" spans="1:53" s="28" customFormat="1" ht="21" x14ac:dyDescent="0.35">
      <c r="A125" s="1"/>
      <c r="B125" s="2"/>
      <c r="C125" s="2"/>
      <c r="D125" s="2"/>
      <c r="E125" s="2"/>
      <c r="F125" s="2"/>
      <c r="G125" s="2"/>
      <c r="H125" s="2"/>
      <c r="I125" s="40">
        <v>7140</v>
      </c>
      <c r="J125" s="26">
        <v>0.85270909100000003</v>
      </c>
      <c r="K125" s="26">
        <v>0.48</v>
      </c>
      <c r="N125" s="26">
        <v>0.68</v>
      </c>
      <c r="Q125" s="26">
        <v>0.45</v>
      </c>
      <c r="T125" s="26">
        <v>0.44</v>
      </c>
      <c r="W125" s="26">
        <v>0</v>
      </c>
      <c r="Z125" s="26">
        <v>0.03</v>
      </c>
      <c r="AC125" s="26">
        <v>0.64</v>
      </c>
      <c r="AF125" s="26">
        <v>0.43</v>
      </c>
      <c r="AI125" s="26">
        <v>0.39</v>
      </c>
      <c r="AL125" s="26">
        <v>0.64</v>
      </c>
      <c r="AO125" s="26">
        <v>0.39</v>
      </c>
      <c r="AR125" s="26">
        <v>0.4</v>
      </c>
      <c r="AU125" s="26">
        <v>0.45500000000000002</v>
      </c>
      <c r="AX125" s="26">
        <v>0.02</v>
      </c>
      <c r="BA125" s="26">
        <v>0.09</v>
      </c>
    </row>
    <row r="126" spans="1:53" s="28" customFormat="1" ht="21" x14ac:dyDescent="0.35">
      <c r="A126" s="1"/>
      <c r="B126" s="2"/>
      <c r="C126" s="2"/>
      <c r="D126" s="2"/>
      <c r="E126" s="2"/>
      <c r="F126" s="2"/>
      <c r="G126" s="2"/>
      <c r="H126" s="2"/>
      <c r="I126" s="40">
        <v>7200</v>
      </c>
      <c r="J126" s="26">
        <v>0.84755454549999998</v>
      </c>
      <c r="K126" s="26">
        <v>0.48</v>
      </c>
      <c r="N126" s="26">
        <v>0.68</v>
      </c>
      <c r="Q126" s="26">
        <v>0.45</v>
      </c>
      <c r="T126" s="26">
        <v>0.44</v>
      </c>
      <c r="W126" s="26">
        <v>0</v>
      </c>
      <c r="Z126" s="26">
        <v>2.5000000000000001E-2</v>
      </c>
      <c r="AC126" s="26">
        <v>0.64</v>
      </c>
      <c r="AF126" s="26">
        <v>0.42</v>
      </c>
      <c r="AI126" s="26">
        <v>0.39</v>
      </c>
      <c r="AL126" s="26">
        <v>0.64</v>
      </c>
      <c r="AO126" s="26">
        <v>0.39</v>
      </c>
      <c r="AR126" s="26">
        <v>0.4</v>
      </c>
      <c r="AU126" s="26">
        <v>0.45</v>
      </c>
      <c r="AX126" s="26">
        <v>0.01</v>
      </c>
      <c r="BA126" s="26">
        <v>0.08</v>
      </c>
    </row>
    <row r="127" spans="1:53" s="28" customFormat="1" ht="21" x14ac:dyDescent="0.35">
      <c r="A127" s="1"/>
      <c r="B127" s="2"/>
      <c r="C127" s="2"/>
      <c r="D127" s="2"/>
      <c r="E127" s="2"/>
      <c r="F127" s="2"/>
      <c r="G127" s="2"/>
      <c r="H127" s="2"/>
      <c r="I127" s="40">
        <v>7260</v>
      </c>
      <c r="J127" s="26">
        <v>0.84070606049999996</v>
      </c>
      <c r="K127" s="26">
        <v>0.48</v>
      </c>
      <c r="N127" s="26">
        <v>0.67500000000000004</v>
      </c>
      <c r="Q127" s="26">
        <v>0.45</v>
      </c>
      <c r="T127" s="26">
        <v>0.435</v>
      </c>
      <c r="W127" s="26">
        <v>0</v>
      </c>
      <c r="Z127" s="26">
        <v>0.02</v>
      </c>
      <c r="AC127" s="26">
        <v>0.64</v>
      </c>
      <c r="AF127" s="26">
        <v>0.42</v>
      </c>
      <c r="AI127" s="26">
        <v>0.38500000000000001</v>
      </c>
      <c r="AL127" s="26">
        <v>0.64</v>
      </c>
      <c r="AO127" s="26">
        <v>0.38500000000000001</v>
      </c>
      <c r="AR127" s="26">
        <v>0.39</v>
      </c>
      <c r="AU127" s="26">
        <v>0.44500000000000001</v>
      </c>
      <c r="AX127" s="26">
        <v>5.0000000000000001E-3</v>
      </c>
      <c r="BA127" s="26">
        <v>6.5000000000000002E-2</v>
      </c>
    </row>
    <row r="128" spans="1:53" s="28" customFormat="1" ht="21" x14ac:dyDescent="0.35">
      <c r="A128" s="1"/>
      <c r="B128" s="2"/>
      <c r="C128" s="2"/>
      <c r="D128" s="2"/>
      <c r="E128" s="2"/>
      <c r="F128" s="2"/>
      <c r="G128" s="2"/>
      <c r="H128" s="2"/>
      <c r="I128" s="40">
        <v>7320</v>
      </c>
      <c r="J128" s="26">
        <v>0.83581515149999996</v>
      </c>
      <c r="K128" s="26">
        <v>0.48</v>
      </c>
      <c r="N128" s="26">
        <v>0.67</v>
      </c>
      <c r="Q128" s="26">
        <v>0.44500000000000001</v>
      </c>
      <c r="T128" s="26">
        <v>0.43</v>
      </c>
      <c r="W128" s="26">
        <v>0</v>
      </c>
      <c r="Z128" s="26">
        <v>0.01</v>
      </c>
      <c r="AC128" s="26">
        <v>0.63</v>
      </c>
      <c r="AF128" s="26">
        <v>0.42</v>
      </c>
      <c r="AI128" s="26">
        <v>0.38</v>
      </c>
      <c r="AL128" s="26">
        <v>0.63500000000000001</v>
      </c>
      <c r="AO128" s="26">
        <v>0.38</v>
      </c>
      <c r="AR128" s="26">
        <v>0.39</v>
      </c>
      <c r="AU128" s="26">
        <v>0.44</v>
      </c>
      <c r="AX128" s="26">
        <v>0</v>
      </c>
      <c r="BA128" s="26">
        <v>0.06</v>
      </c>
    </row>
    <row r="129" spans="1:53" s="28" customFormat="1" ht="21" x14ac:dyDescent="0.35">
      <c r="A129" s="1"/>
      <c r="B129" s="2"/>
      <c r="C129" s="2"/>
      <c r="D129" s="2"/>
      <c r="E129" s="2"/>
      <c r="F129" s="2"/>
      <c r="G129" s="2"/>
      <c r="H129" s="2"/>
      <c r="I129" s="40">
        <v>7380</v>
      </c>
      <c r="J129" s="26">
        <v>0.83020302999999995</v>
      </c>
      <c r="K129" s="26">
        <v>0.48</v>
      </c>
      <c r="N129" s="26">
        <v>0.67</v>
      </c>
      <c r="Q129" s="26">
        <v>0.44</v>
      </c>
      <c r="T129" s="26">
        <v>0.43</v>
      </c>
      <c r="W129" s="26">
        <v>0</v>
      </c>
      <c r="Z129" s="26">
        <v>0.01</v>
      </c>
      <c r="AC129" s="26">
        <v>0.63</v>
      </c>
      <c r="AF129" s="26">
        <v>0.41</v>
      </c>
      <c r="AI129" s="26">
        <v>0.38</v>
      </c>
      <c r="AL129" s="26">
        <v>0.63</v>
      </c>
      <c r="AO129" s="26">
        <v>0.38</v>
      </c>
      <c r="AR129" s="26">
        <v>0.38500000000000001</v>
      </c>
      <c r="AU129" s="26">
        <v>0.43</v>
      </c>
      <c r="AX129" s="26">
        <v>0</v>
      </c>
      <c r="BA129" s="26">
        <v>0.05</v>
      </c>
    </row>
    <row r="130" spans="1:53" s="28" customFormat="1" ht="21" x14ac:dyDescent="0.35">
      <c r="A130" s="1"/>
      <c r="B130" s="2"/>
      <c r="C130" s="2"/>
      <c r="D130" s="2"/>
      <c r="E130" s="2"/>
      <c r="F130" s="2"/>
      <c r="G130" s="2"/>
      <c r="H130" s="2"/>
      <c r="I130" s="40">
        <v>7440</v>
      </c>
      <c r="J130" s="26">
        <v>0.82594545450000001</v>
      </c>
      <c r="K130" s="26">
        <v>0.48</v>
      </c>
      <c r="N130" s="26">
        <v>0.67</v>
      </c>
      <c r="Q130" s="26">
        <v>0.44</v>
      </c>
      <c r="T130" s="26">
        <v>0.43</v>
      </c>
      <c r="W130" s="26">
        <v>0</v>
      </c>
      <c r="Z130" s="26">
        <v>5.0000000000000001E-3</v>
      </c>
      <c r="AC130" s="26">
        <v>0.63</v>
      </c>
      <c r="AF130" s="26">
        <v>0.41</v>
      </c>
      <c r="AI130" s="26">
        <v>0.375</v>
      </c>
      <c r="AL130" s="26">
        <v>0.625</v>
      </c>
      <c r="AO130" s="26">
        <v>0.37</v>
      </c>
      <c r="AR130" s="26">
        <v>0.38</v>
      </c>
      <c r="AU130" s="26">
        <v>0.42499999999999999</v>
      </c>
      <c r="AX130" s="26">
        <v>0</v>
      </c>
      <c r="BA130" s="26">
        <v>0.04</v>
      </c>
    </row>
    <row r="131" spans="1:53" s="28" customFormat="1" ht="21" x14ac:dyDescent="0.35">
      <c r="A131" s="1"/>
      <c r="B131" s="2"/>
      <c r="C131" s="2"/>
      <c r="D131" s="2"/>
      <c r="E131" s="2"/>
      <c r="F131" s="2"/>
      <c r="G131" s="2"/>
      <c r="H131" s="2"/>
      <c r="I131" s="40">
        <v>7500</v>
      </c>
      <c r="J131" s="26">
        <v>0.82209697000000004</v>
      </c>
      <c r="K131" s="26">
        <v>0.47</v>
      </c>
      <c r="N131" s="26">
        <v>0.66500000000000004</v>
      </c>
      <c r="Q131" s="26">
        <v>0.44</v>
      </c>
      <c r="T131" s="26">
        <v>0.42</v>
      </c>
      <c r="W131" s="26">
        <v>0</v>
      </c>
      <c r="Z131" s="26">
        <v>0</v>
      </c>
      <c r="AC131" s="26">
        <v>0.62</v>
      </c>
      <c r="AF131" s="26">
        <v>0.41</v>
      </c>
      <c r="AI131" s="26">
        <v>0.37</v>
      </c>
      <c r="AL131" s="26">
        <v>0.62</v>
      </c>
      <c r="AO131" s="26">
        <v>0.37</v>
      </c>
      <c r="AR131" s="26">
        <v>0.375</v>
      </c>
      <c r="AU131" s="26">
        <v>0.42</v>
      </c>
      <c r="AX131" s="26">
        <v>0</v>
      </c>
      <c r="BA131" s="26">
        <v>3.5000000000000003E-2</v>
      </c>
    </row>
    <row r="132" spans="1:53" s="28" customFormat="1" ht="21" x14ac:dyDescent="0.35">
      <c r="A132" s="1"/>
      <c r="B132" s="2"/>
      <c r="C132" s="2"/>
      <c r="D132" s="2"/>
      <c r="E132" s="2"/>
      <c r="F132" s="2"/>
      <c r="G132" s="2"/>
      <c r="H132" s="2"/>
      <c r="I132" s="40">
        <v>7560</v>
      </c>
      <c r="J132" s="26">
        <v>0.81634848500000001</v>
      </c>
      <c r="K132" s="26">
        <v>0.47</v>
      </c>
      <c r="N132" s="26">
        <v>0.66</v>
      </c>
      <c r="Q132" s="26">
        <v>0.435</v>
      </c>
      <c r="T132" s="26">
        <v>0.42</v>
      </c>
      <c r="W132" s="26">
        <v>0</v>
      </c>
      <c r="Z132" s="26">
        <v>0</v>
      </c>
      <c r="AC132" s="26">
        <v>0.62</v>
      </c>
      <c r="AF132" s="26">
        <v>0.4</v>
      </c>
      <c r="AI132" s="26">
        <v>0.37</v>
      </c>
      <c r="AL132" s="26">
        <v>0.61499999999999999</v>
      </c>
      <c r="AO132" s="26">
        <v>0.36</v>
      </c>
      <c r="AR132" s="26">
        <v>0.37</v>
      </c>
      <c r="AU132" s="26">
        <v>0.41</v>
      </c>
      <c r="AX132" s="26">
        <v>0</v>
      </c>
      <c r="BA132" s="26">
        <v>2.5000000000000001E-2</v>
      </c>
    </row>
    <row r="133" spans="1:53" s="28" customFormat="1" ht="21" x14ac:dyDescent="0.35">
      <c r="A133" s="1"/>
      <c r="B133" s="2"/>
      <c r="C133" s="2"/>
      <c r="D133" s="2"/>
      <c r="E133" s="2"/>
      <c r="F133" s="2"/>
      <c r="G133" s="2"/>
      <c r="H133" s="2"/>
      <c r="I133" s="40">
        <v>7620</v>
      </c>
      <c r="J133" s="26">
        <v>0.81163939399999996</v>
      </c>
      <c r="K133" s="26">
        <v>0.47</v>
      </c>
      <c r="N133" s="26">
        <v>0.66</v>
      </c>
      <c r="Q133" s="26">
        <v>0.43</v>
      </c>
      <c r="T133" s="26">
        <v>0.42</v>
      </c>
      <c r="W133" s="26">
        <v>0</v>
      </c>
      <c r="Z133" s="26">
        <v>0</v>
      </c>
      <c r="AC133" s="26">
        <v>0.61499999999999999</v>
      </c>
      <c r="AF133" s="26">
        <v>0.4</v>
      </c>
      <c r="AI133" s="26">
        <v>0.36</v>
      </c>
      <c r="AL133" s="26">
        <v>0.61</v>
      </c>
      <c r="AO133" s="26">
        <v>0.36</v>
      </c>
      <c r="AR133" s="26">
        <v>0.36499999999999999</v>
      </c>
      <c r="AU133" s="26">
        <v>0.40500000000000003</v>
      </c>
      <c r="AX133" s="26">
        <v>0</v>
      </c>
      <c r="BA133" s="26">
        <v>0.02</v>
      </c>
    </row>
    <row r="134" spans="1:53" s="28" customFormat="1" ht="21" x14ac:dyDescent="0.35">
      <c r="A134" s="1"/>
      <c r="B134" s="2"/>
      <c r="C134" s="2"/>
      <c r="D134" s="2"/>
      <c r="E134" s="2"/>
      <c r="F134" s="2"/>
      <c r="G134" s="2"/>
      <c r="H134" s="2"/>
      <c r="I134" s="40">
        <v>7680</v>
      </c>
      <c r="J134" s="26">
        <v>0.80636363600000005</v>
      </c>
      <c r="K134" s="26">
        <v>0.47</v>
      </c>
      <c r="N134" s="26">
        <v>0.66</v>
      </c>
      <c r="Q134" s="26">
        <v>0.43</v>
      </c>
      <c r="T134" s="26">
        <v>0.41499999999999998</v>
      </c>
      <c r="W134" s="26">
        <v>0</v>
      </c>
      <c r="Z134" s="26">
        <v>0</v>
      </c>
      <c r="AC134" s="26">
        <v>0.61</v>
      </c>
      <c r="AF134" s="26">
        <v>0.39500000000000002</v>
      </c>
      <c r="AI134" s="26">
        <v>0.36</v>
      </c>
      <c r="AL134" s="26">
        <v>0.60499999999999998</v>
      </c>
      <c r="AO134" s="26">
        <v>0.35</v>
      </c>
      <c r="AR134" s="26">
        <v>0.36</v>
      </c>
      <c r="AU134" s="26">
        <v>0.39500000000000002</v>
      </c>
      <c r="AX134" s="26">
        <v>0</v>
      </c>
      <c r="BA134" s="26">
        <v>0.01</v>
      </c>
    </row>
    <row r="135" spans="1:53" s="28" customFormat="1" ht="21" x14ac:dyDescent="0.35">
      <c r="A135" s="1"/>
      <c r="B135" s="2"/>
      <c r="C135" s="2"/>
      <c r="D135" s="2"/>
      <c r="E135" s="2"/>
      <c r="F135" s="2"/>
      <c r="G135" s="2"/>
      <c r="H135" s="2"/>
      <c r="I135" s="40">
        <v>7740</v>
      </c>
      <c r="J135" s="26">
        <v>0.80195151499999995</v>
      </c>
      <c r="K135" s="26">
        <v>0.47</v>
      </c>
      <c r="N135" s="26">
        <v>0.65</v>
      </c>
      <c r="Q135" s="26">
        <v>0.42</v>
      </c>
      <c r="T135" s="26">
        <v>0.41</v>
      </c>
      <c r="W135" s="26">
        <v>0</v>
      </c>
      <c r="Z135" s="26">
        <v>0</v>
      </c>
      <c r="AC135" s="26">
        <v>0.61</v>
      </c>
      <c r="AF135" s="26">
        <v>0.39</v>
      </c>
      <c r="AI135" s="26">
        <v>0.35499999999999998</v>
      </c>
      <c r="AL135" s="26">
        <v>0.6</v>
      </c>
      <c r="AO135" s="26">
        <v>0.34499999999999997</v>
      </c>
      <c r="AR135" s="26">
        <v>0.35</v>
      </c>
      <c r="AU135" s="26">
        <v>0.38500000000000001</v>
      </c>
      <c r="AX135" s="26">
        <v>0</v>
      </c>
      <c r="BA135" s="26">
        <v>5.0000000000000001E-3</v>
      </c>
    </row>
    <row r="136" spans="1:53" s="28" customFormat="1" ht="21" x14ac:dyDescent="0.35">
      <c r="A136" s="1"/>
      <c r="B136" s="2"/>
      <c r="C136" s="2"/>
      <c r="D136" s="2"/>
      <c r="E136" s="2"/>
      <c r="F136" s="2"/>
      <c r="G136" s="2"/>
      <c r="H136" s="2"/>
      <c r="I136" s="40">
        <v>7800</v>
      </c>
      <c r="J136" s="26">
        <v>0.79823939399999999</v>
      </c>
      <c r="K136" s="26">
        <v>0.47</v>
      </c>
      <c r="N136" s="26">
        <v>0.65</v>
      </c>
      <c r="Q136" s="26">
        <v>0.42</v>
      </c>
      <c r="T136" s="26">
        <v>0.41</v>
      </c>
      <c r="W136" s="26">
        <v>0</v>
      </c>
      <c r="Z136" s="26">
        <v>0</v>
      </c>
      <c r="AC136" s="26">
        <v>0.6</v>
      </c>
      <c r="AF136" s="26">
        <v>0.38500000000000001</v>
      </c>
      <c r="AI136" s="26">
        <v>0.35</v>
      </c>
      <c r="AL136" s="26">
        <v>0.59</v>
      </c>
      <c r="AO136" s="26">
        <v>0.34</v>
      </c>
      <c r="AR136" s="26">
        <v>0.35</v>
      </c>
      <c r="AU136" s="26">
        <v>0.38</v>
      </c>
      <c r="AX136" s="26">
        <v>0</v>
      </c>
      <c r="BA136" s="26">
        <v>0</v>
      </c>
    </row>
    <row r="137" spans="1:53" s="28" customFormat="1" ht="21" x14ac:dyDescent="0.35">
      <c r="A137" s="1"/>
      <c r="B137" s="2"/>
      <c r="C137" s="2"/>
      <c r="D137" s="2"/>
      <c r="E137" s="2"/>
      <c r="F137" s="2"/>
      <c r="G137" s="2"/>
      <c r="H137" s="2"/>
      <c r="I137" s="40">
        <v>7860</v>
      </c>
      <c r="J137" s="26">
        <v>0.79415757549999999</v>
      </c>
      <c r="K137" s="26">
        <v>0.47</v>
      </c>
      <c r="N137" s="26">
        <v>0.65</v>
      </c>
      <c r="Q137" s="26">
        <v>0.42</v>
      </c>
      <c r="T137" s="26">
        <v>0.40500000000000003</v>
      </c>
      <c r="W137" s="26">
        <v>0</v>
      </c>
      <c r="Z137" s="26">
        <v>0</v>
      </c>
      <c r="AC137" s="26">
        <v>0.6</v>
      </c>
      <c r="AF137" s="26">
        <v>0.38</v>
      </c>
      <c r="AI137" s="26">
        <v>0.34499999999999997</v>
      </c>
      <c r="AL137" s="26">
        <v>0.58499999999999996</v>
      </c>
      <c r="AO137" s="26">
        <v>0.33</v>
      </c>
      <c r="AR137" s="26">
        <v>0.34</v>
      </c>
      <c r="AU137" s="26">
        <v>0.37</v>
      </c>
      <c r="AX137" s="26">
        <v>0</v>
      </c>
      <c r="BA137" s="26">
        <v>0</v>
      </c>
    </row>
    <row r="138" spans="1:53" s="28" customFormat="1" ht="21" x14ac:dyDescent="0.35">
      <c r="A138" s="1"/>
      <c r="B138" s="2"/>
      <c r="C138" s="2"/>
      <c r="D138" s="2"/>
      <c r="E138" s="2"/>
      <c r="F138" s="2"/>
      <c r="G138" s="2"/>
      <c r="H138" s="2"/>
      <c r="I138" s="40">
        <v>7920</v>
      </c>
      <c r="J138" s="26">
        <v>0.78985757599999995</v>
      </c>
      <c r="K138" s="26">
        <v>0.47</v>
      </c>
      <c r="N138" s="26">
        <v>0.64</v>
      </c>
      <c r="Q138" s="26">
        <v>0.41</v>
      </c>
      <c r="T138" s="26">
        <v>0.4</v>
      </c>
      <c r="W138" s="26">
        <v>0</v>
      </c>
      <c r="Z138" s="26">
        <v>0</v>
      </c>
      <c r="AC138" s="26">
        <v>0.59</v>
      </c>
      <c r="AF138" s="26">
        <v>0.375</v>
      </c>
      <c r="AI138" s="26">
        <v>0.34</v>
      </c>
      <c r="AL138" s="26">
        <v>0.57999999999999996</v>
      </c>
      <c r="AO138" s="26">
        <v>0.32500000000000001</v>
      </c>
      <c r="AR138" s="26">
        <v>0.33</v>
      </c>
      <c r="AU138" s="26">
        <v>0.36</v>
      </c>
      <c r="AX138" s="26">
        <v>0</v>
      </c>
      <c r="BA138" s="26">
        <v>0</v>
      </c>
    </row>
    <row r="139" spans="1:53" s="28" customFormat="1" ht="21" x14ac:dyDescent="0.35">
      <c r="A139" s="1"/>
      <c r="B139" s="2"/>
      <c r="C139" s="2"/>
      <c r="D139" s="2"/>
      <c r="E139" s="2"/>
      <c r="F139" s="2"/>
      <c r="G139" s="2"/>
      <c r="H139" s="2"/>
      <c r="I139" s="40">
        <v>7980</v>
      </c>
      <c r="J139" s="26">
        <v>0.78457272700000003</v>
      </c>
      <c r="K139" s="26">
        <v>0.46</v>
      </c>
      <c r="N139" s="26">
        <v>0.64</v>
      </c>
      <c r="Q139" s="26">
        <v>0.41</v>
      </c>
      <c r="T139" s="26">
        <v>0.4</v>
      </c>
      <c r="W139" s="26">
        <v>0</v>
      </c>
      <c r="Z139" s="26">
        <v>0</v>
      </c>
      <c r="AC139" s="26">
        <v>0.59</v>
      </c>
      <c r="AF139" s="26">
        <v>0.37</v>
      </c>
      <c r="AI139" s="26">
        <v>0.33500000000000002</v>
      </c>
      <c r="AL139" s="26">
        <v>0.56999999999999995</v>
      </c>
      <c r="AO139" s="26">
        <v>0.315</v>
      </c>
      <c r="AR139" s="26">
        <v>0.32500000000000001</v>
      </c>
      <c r="AU139" s="26">
        <v>0.35</v>
      </c>
      <c r="AX139" s="26">
        <v>0</v>
      </c>
      <c r="BA139" s="26">
        <v>0</v>
      </c>
    </row>
    <row r="140" spans="1:53" s="28" customFormat="1" ht="21" x14ac:dyDescent="0.35">
      <c r="A140" s="1"/>
      <c r="B140" s="2"/>
      <c r="C140" s="2"/>
      <c r="D140" s="2"/>
      <c r="E140" s="2"/>
      <c r="F140" s="2"/>
      <c r="G140" s="2"/>
      <c r="H140" s="2"/>
      <c r="I140" s="40">
        <v>8040</v>
      </c>
      <c r="J140" s="26">
        <v>0.77984848449999999</v>
      </c>
      <c r="K140" s="26">
        <v>0.46</v>
      </c>
      <c r="N140" s="26">
        <v>0.64</v>
      </c>
      <c r="Q140" s="26">
        <v>0.41</v>
      </c>
      <c r="T140" s="26">
        <v>0.39500000000000002</v>
      </c>
      <c r="W140" s="26">
        <v>0</v>
      </c>
      <c r="Z140" s="26">
        <v>0</v>
      </c>
      <c r="AC140" s="26">
        <v>0.57999999999999996</v>
      </c>
      <c r="AF140" s="26">
        <v>0.36499999999999999</v>
      </c>
      <c r="AI140" s="26">
        <v>0.33</v>
      </c>
      <c r="AL140" s="26">
        <v>0.56000000000000005</v>
      </c>
      <c r="AO140" s="26">
        <v>0.31</v>
      </c>
      <c r="AR140" s="26">
        <v>0.32</v>
      </c>
      <c r="AU140" s="26">
        <v>0.34</v>
      </c>
      <c r="AX140" s="26">
        <v>0</v>
      </c>
      <c r="BA140" s="26">
        <v>0</v>
      </c>
    </row>
    <row r="141" spans="1:53" s="28" customFormat="1" ht="21" x14ac:dyDescent="0.35">
      <c r="A141" s="1"/>
      <c r="B141" s="2"/>
      <c r="C141" s="2"/>
      <c r="D141" s="2"/>
      <c r="E141" s="2"/>
      <c r="F141" s="2"/>
      <c r="G141" s="2"/>
      <c r="H141" s="2"/>
      <c r="I141" s="40">
        <v>8100</v>
      </c>
      <c r="J141" s="26">
        <v>0.77382121199999998</v>
      </c>
      <c r="K141" s="26">
        <v>0.46</v>
      </c>
      <c r="N141" s="26">
        <v>0.63</v>
      </c>
      <c r="Q141" s="26">
        <v>0.4</v>
      </c>
      <c r="T141" s="26">
        <v>0.39</v>
      </c>
      <c r="W141" s="26">
        <v>0</v>
      </c>
      <c r="Z141" s="26">
        <v>0</v>
      </c>
      <c r="AC141" s="26">
        <v>0.57999999999999996</v>
      </c>
      <c r="AF141" s="26">
        <v>0.36</v>
      </c>
      <c r="AI141" s="26">
        <v>0.32500000000000001</v>
      </c>
      <c r="AL141" s="26">
        <v>0.55500000000000005</v>
      </c>
      <c r="AO141" s="26">
        <v>0.3</v>
      </c>
      <c r="AR141" s="26">
        <v>0.31</v>
      </c>
      <c r="AU141" s="26">
        <v>0.33</v>
      </c>
      <c r="AX141" s="26">
        <v>0</v>
      </c>
      <c r="BA141" s="26">
        <v>0</v>
      </c>
    </row>
    <row r="142" spans="1:53" s="28" customFormat="1" ht="21" x14ac:dyDescent="0.35">
      <c r="A142" s="1"/>
      <c r="B142" s="2"/>
      <c r="C142" s="2"/>
      <c r="D142" s="2"/>
      <c r="E142" s="2"/>
      <c r="F142" s="2"/>
      <c r="G142" s="2"/>
      <c r="H142" s="2"/>
      <c r="I142" s="40">
        <v>8160</v>
      </c>
      <c r="J142" s="26">
        <v>0.76987272750000002</v>
      </c>
      <c r="K142" s="26">
        <v>0.46</v>
      </c>
      <c r="N142" s="26">
        <v>0.63</v>
      </c>
      <c r="Q142" s="26">
        <v>0.4</v>
      </c>
      <c r="T142" s="26">
        <v>0.39</v>
      </c>
      <c r="W142" s="26">
        <v>0</v>
      </c>
      <c r="Z142" s="26">
        <v>0</v>
      </c>
      <c r="AC142" s="26">
        <v>0.56999999999999995</v>
      </c>
      <c r="AF142" s="26">
        <v>0.35499999999999998</v>
      </c>
      <c r="AI142" s="26">
        <v>0.32</v>
      </c>
      <c r="AL142" s="26">
        <v>0.54500000000000004</v>
      </c>
      <c r="AO142" s="26">
        <v>0.28999999999999998</v>
      </c>
      <c r="AR142" s="26">
        <v>0.3</v>
      </c>
      <c r="AU142" s="26">
        <v>0.32</v>
      </c>
      <c r="AX142" s="26">
        <v>0</v>
      </c>
      <c r="BA142" s="26">
        <v>0</v>
      </c>
    </row>
    <row r="143" spans="1:53" s="28" customFormat="1" ht="21" x14ac:dyDescent="0.35">
      <c r="A143" s="1"/>
      <c r="B143" s="2"/>
      <c r="C143" s="2"/>
      <c r="D143" s="2"/>
      <c r="E143" s="2"/>
      <c r="F143" s="2"/>
      <c r="G143" s="2"/>
      <c r="H143" s="2"/>
      <c r="I143" s="40">
        <v>8220</v>
      </c>
      <c r="J143" s="26">
        <v>0.76406666649999999</v>
      </c>
      <c r="K143" s="26">
        <v>0.46</v>
      </c>
      <c r="N143" s="26">
        <v>0.63</v>
      </c>
      <c r="Q143" s="26">
        <v>0.4</v>
      </c>
      <c r="T143" s="26">
        <v>0.38</v>
      </c>
      <c r="W143" s="26">
        <v>0</v>
      </c>
      <c r="Z143" s="26">
        <v>0</v>
      </c>
      <c r="AC143" s="26">
        <v>0.56999999999999995</v>
      </c>
      <c r="AF143" s="26">
        <v>0.35</v>
      </c>
      <c r="AI143" s="26">
        <v>0.315</v>
      </c>
      <c r="AL143" s="26">
        <v>0.54</v>
      </c>
      <c r="AO143" s="26">
        <v>0.28499999999999998</v>
      </c>
      <c r="AR143" s="26">
        <v>0.28999999999999998</v>
      </c>
      <c r="AU143" s="26">
        <v>0.31</v>
      </c>
      <c r="AX143" s="26">
        <v>0</v>
      </c>
      <c r="BA143" s="26">
        <v>0</v>
      </c>
    </row>
    <row r="144" spans="1:53" s="28" customFormat="1" ht="21" x14ac:dyDescent="0.35">
      <c r="A144" s="1"/>
      <c r="B144" s="2"/>
      <c r="C144" s="2"/>
      <c r="D144" s="2"/>
      <c r="E144" s="2"/>
      <c r="F144" s="2"/>
      <c r="G144" s="2"/>
      <c r="H144" s="2"/>
      <c r="I144" s="40">
        <v>8280</v>
      </c>
      <c r="J144" s="26">
        <v>0.75838484849999999</v>
      </c>
      <c r="K144" s="26">
        <v>0.46</v>
      </c>
      <c r="N144" s="26">
        <v>0.62</v>
      </c>
      <c r="Q144" s="26">
        <v>0.39</v>
      </c>
      <c r="T144" s="26">
        <v>0.38</v>
      </c>
      <c r="W144" s="26">
        <v>0</v>
      </c>
      <c r="Z144" s="26">
        <v>0</v>
      </c>
      <c r="AC144" s="26">
        <v>0.56000000000000005</v>
      </c>
      <c r="AF144" s="26">
        <v>0.34499999999999997</v>
      </c>
      <c r="AI144" s="26">
        <v>0.31</v>
      </c>
      <c r="AL144" s="26">
        <v>0.53</v>
      </c>
      <c r="AO144" s="26">
        <v>0.27500000000000002</v>
      </c>
      <c r="AR144" s="26">
        <v>0.28499999999999998</v>
      </c>
      <c r="AU144" s="26">
        <v>0.3</v>
      </c>
      <c r="AX144" s="26">
        <v>0</v>
      </c>
      <c r="BA144" s="26">
        <v>0</v>
      </c>
    </row>
    <row r="145" spans="1:53" s="28" customFormat="1" ht="21" x14ac:dyDescent="0.35">
      <c r="A145" s="1"/>
      <c r="B145" s="2"/>
      <c r="C145" s="2"/>
      <c r="D145" s="2"/>
      <c r="E145" s="2"/>
      <c r="F145" s="2"/>
      <c r="G145" s="2"/>
      <c r="H145" s="2"/>
      <c r="I145" s="40">
        <v>8340</v>
      </c>
      <c r="J145" s="26">
        <v>0.7533939395</v>
      </c>
      <c r="K145" s="26">
        <v>0.45500000000000002</v>
      </c>
      <c r="N145" s="26">
        <v>0.62</v>
      </c>
      <c r="Q145" s="26">
        <v>0.39</v>
      </c>
      <c r="T145" s="26">
        <v>0.375</v>
      </c>
      <c r="W145" s="26">
        <v>0</v>
      </c>
      <c r="Z145" s="26">
        <v>0</v>
      </c>
      <c r="AC145" s="26">
        <v>0.56000000000000005</v>
      </c>
      <c r="AF145" s="26">
        <v>0.34</v>
      </c>
      <c r="AI145" s="26">
        <v>0.30499999999999999</v>
      </c>
      <c r="AL145" s="26">
        <v>0.52</v>
      </c>
      <c r="AO145" s="26">
        <v>0.26500000000000001</v>
      </c>
      <c r="AR145" s="26">
        <v>0.27500000000000002</v>
      </c>
      <c r="AU145" s="26">
        <v>0.28999999999999998</v>
      </c>
      <c r="AX145" s="26">
        <v>0</v>
      </c>
      <c r="BA145" s="26">
        <v>0</v>
      </c>
    </row>
    <row r="146" spans="1:53" s="28" customFormat="1" ht="21" x14ac:dyDescent="0.35">
      <c r="A146" s="1"/>
      <c r="B146" s="2"/>
      <c r="C146" s="2"/>
      <c r="D146" s="2"/>
      <c r="E146" s="2"/>
      <c r="F146" s="2"/>
      <c r="G146" s="2"/>
      <c r="H146" s="2"/>
      <c r="I146" s="40">
        <v>8400</v>
      </c>
      <c r="J146" s="26">
        <v>0.74750000000000005</v>
      </c>
      <c r="K146" s="26">
        <v>0.45</v>
      </c>
      <c r="N146" s="26">
        <v>0.61499999999999999</v>
      </c>
      <c r="Q146" s="26">
        <v>0.38500000000000001</v>
      </c>
      <c r="T146" s="26">
        <v>0.37</v>
      </c>
      <c r="W146" s="26">
        <v>0</v>
      </c>
      <c r="Z146" s="26">
        <v>0</v>
      </c>
      <c r="AC146" s="26">
        <v>0.55000000000000004</v>
      </c>
      <c r="AF146" s="26">
        <v>0.33500000000000002</v>
      </c>
      <c r="AI146" s="26">
        <v>0.3</v>
      </c>
      <c r="AL146" s="26">
        <v>0.51</v>
      </c>
      <c r="AO146" s="26">
        <v>0.26</v>
      </c>
      <c r="AR146" s="26">
        <v>0.26500000000000001</v>
      </c>
      <c r="AU146" s="26">
        <v>0.28000000000000003</v>
      </c>
      <c r="AX146" s="26">
        <v>0</v>
      </c>
      <c r="BA146" s="26">
        <v>0</v>
      </c>
    </row>
    <row r="147" spans="1:53" s="28" customFormat="1" ht="21" x14ac:dyDescent="0.35">
      <c r="A147" s="1"/>
      <c r="B147" s="2"/>
      <c r="C147" s="2"/>
      <c r="D147" s="2"/>
      <c r="E147" s="2"/>
      <c r="F147" s="2"/>
      <c r="G147" s="2"/>
      <c r="H147" s="2"/>
      <c r="I147" s="40">
        <v>8460</v>
      </c>
      <c r="J147" s="26">
        <v>0.74232424249999995</v>
      </c>
      <c r="K147" s="26">
        <v>0.45</v>
      </c>
      <c r="N147" s="26">
        <v>0.61</v>
      </c>
      <c r="Q147" s="26">
        <v>0.38</v>
      </c>
      <c r="T147" s="26">
        <v>0.37</v>
      </c>
      <c r="W147" s="26">
        <v>0</v>
      </c>
      <c r="Z147" s="26">
        <v>0</v>
      </c>
      <c r="AC147" s="26">
        <v>0.54500000000000004</v>
      </c>
      <c r="AF147" s="26">
        <v>0.33</v>
      </c>
      <c r="AI147" s="26">
        <v>0.29499999999999998</v>
      </c>
      <c r="AL147" s="26">
        <v>0.505</v>
      </c>
      <c r="AO147" s="26">
        <v>0.25</v>
      </c>
      <c r="AR147" s="26">
        <v>0.255</v>
      </c>
      <c r="AU147" s="26">
        <v>0.27</v>
      </c>
      <c r="AX147" s="26">
        <v>0</v>
      </c>
      <c r="BA147" s="26">
        <v>0</v>
      </c>
    </row>
    <row r="148" spans="1:53" s="28" customFormat="1" ht="21" x14ac:dyDescent="0.35">
      <c r="A148" s="1"/>
      <c r="B148" s="2"/>
      <c r="C148" s="2"/>
      <c r="D148" s="2"/>
      <c r="E148" s="2"/>
      <c r="F148" s="2"/>
      <c r="G148" s="2"/>
      <c r="H148" s="2"/>
      <c r="I148" s="40">
        <v>8520</v>
      </c>
      <c r="J148" s="26">
        <v>0.7357666665</v>
      </c>
      <c r="K148" s="26">
        <v>0.45</v>
      </c>
      <c r="N148" s="26">
        <v>0.61</v>
      </c>
      <c r="Q148" s="26">
        <v>0.375</v>
      </c>
      <c r="T148" s="26">
        <v>0.36</v>
      </c>
      <c r="W148" s="26">
        <v>0</v>
      </c>
      <c r="Z148" s="26">
        <v>0</v>
      </c>
      <c r="AC148" s="26">
        <v>0.54</v>
      </c>
      <c r="AF148" s="26">
        <v>0.32</v>
      </c>
      <c r="AI148" s="26">
        <v>0.28999999999999998</v>
      </c>
      <c r="AL148" s="26">
        <v>0.495</v>
      </c>
      <c r="AO148" s="26">
        <v>0.24</v>
      </c>
      <c r="AR148" s="26">
        <v>0.245</v>
      </c>
      <c r="AU148" s="26">
        <v>0.26</v>
      </c>
      <c r="AX148" s="26">
        <v>0</v>
      </c>
      <c r="BA148" s="26">
        <v>0</v>
      </c>
    </row>
    <row r="149" spans="1:53" s="28" customFormat="1" ht="21" x14ac:dyDescent="0.35">
      <c r="A149" s="1"/>
      <c r="B149" s="2"/>
      <c r="C149" s="2"/>
      <c r="D149" s="2"/>
      <c r="E149" s="2"/>
      <c r="F149" s="2"/>
      <c r="G149" s="2"/>
      <c r="H149" s="2"/>
      <c r="I149" s="40">
        <v>8580</v>
      </c>
      <c r="J149" s="26">
        <v>0.73113939400000005</v>
      </c>
      <c r="K149" s="26">
        <v>0.45</v>
      </c>
      <c r="N149" s="26">
        <v>0.6</v>
      </c>
      <c r="Q149" s="26">
        <v>0.37</v>
      </c>
      <c r="T149" s="26">
        <v>0.36</v>
      </c>
      <c r="W149" s="26">
        <v>0</v>
      </c>
      <c r="Z149" s="26">
        <v>0</v>
      </c>
      <c r="AC149" s="26">
        <v>0.53500000000000003</v>
      </c>
      <c r="AF149" s="26">
        <v>0.32</v>
      </c>
      <c r="AI149" s="26">
        <v>0.28499999999999998</v>
      </c>
      <c r="AL149" s="26">
        <v>0.48499999999999999</v>
      </c>
      <c r="AO149" s="26">
        <v>0.23</v>
      </c>
      <c r="AR149" s="26">
        <v>0.23499999999999999</v>
      </c>
      <c r="AU149" s="26">
        <v>0.25</v>
      </c>
      <c r="AX149" s="26">
        <v>5.0000000000000001E-3</v>
      </c>
      <c r="BA149" s="26">
        <v>0</v>
      </c>
    </row>
    <row r="150" spans="1:53" s="28" customFormat="1" ht="21" x14ac:dyDescent="0.35">
      <c r="A150" s="1"/>
      <c r="B150" s="2"/>
      <c r="C150" s="2"/>
      <c r="D150" s="2"/>
      <c r="E150" s="2"/>
      <c r="F150" s="2"/>
      <c r="G150" s="2"/>
      <c r="H150" s="2"/>
      <c r="I150" s="40">
        <v>8640</v>
      </c>
      <c r="J150" s="26">
        <v>0.72586060600000002</v>
      </c>
      <c r="K150" s="26">
        <v>0.45</v>
      </c>
      <c r="N150" s="26">
        <v>0.6</v>
      </c>
      <c r="Q150" s="26">
        <v>0.37</v>
      </c>
      <c r="T150" s="26">
        <v>0.35499999999999998</v>
      </c>
      <c r="W150" s="26">
        <v>0</v>
      </c>
      <c r="Z150" s="26">
        <v>0</v>
      </c>
      <c r="AC150" s="26">
        <v>0.53</v>
      </c>
      <c r="AF150" s="26">
        <v>0.31</v>
      </c>
      <c r="AI150" s="26">
        <v>0.28000000000000003</v>
      </c>
      <c r="AL150" s="26">
        <v>0.47499999999999998</v>
      </c>
      <c r="AO150" s="26">
        <v>0.22</v>
      </c>
      <c r="AR150" s="26">
        <v>0.23</v>
      </c>
      <c r="AU150" s="26">
        <v>0.24</v>
      </c>
      <c r="AX150" s="26">
        <v>0</v>
      </c>
      <c r="BA150" s="26">
        <v>0</v>
      </c>
    </row>
    <row r="151" spans="1:53" s="28" customFormat="1" ht="21" x14ac:dyDescent="0.35">
      <c r="A151" s="1"/>
      <c r="B151" s="2"/>
      <c r="C151" s="2"/>
      <c r="D151" s="2"/>
      <c r="E151" s="2"/>
      <c r="F151" s="2"/>
      <c r="G151" s="2"/>
      <c r="H151" s="2"/>
      <c r="I151" s="40">
        <v>8700</v>
      </c>
      <c r="J151" s="26">
        <v>0.72005454550000003</v>
      </c>
      <c r="K151" s="26">
        <v>0.44500000000000001</v>
      </c>
      <c r="N151" s="26">
        <v>0.59</v>
      </c>
      <c r="Q151" s="26">
        <v>0.36</v>
      </c>
      <c r="T151" s="26">
        <v>0.35</v>
      </c>
      <c r="W151" s="26">
        <v>0</v>
      </c>
      <c r="Z151" s="26">
        <v>0</v>
      </c>
      <c r="AC151" s="26">
        <v>0.52</v>
      </c>
      <c r="AF151" s="26">
        <v>0.30499999999999999</v>
      </c>
      <c r="AI151" s="26">
        <v>0.27</v>
      </c>
      <c r="AL151" s="26">
        <v>0.46500000000000002</v>
      </c>
      <c r="AO151" s="26">
        <v>0.215</v>
      </c>
      <c r="AR151" s="26">
        <v>0.22</v>
      </c>
      <c r="AU151" s="26">
        <v>0.23</v>
      </c>
      <c r="AX151" s="26">
        <v>0</v>
      </c>
      <c r="BA151" s="26">
        <v>0</v>
      </c>
    </row>
    <row r="152" spans="1:53" s="28" customFormat="1" ht="21" x14ac:dyDescent="0.35">
      <c r="A152" s="1"/>
      <c r="B152" s="2"/>
      <c r="C152" s="2"/>
      <c r="D152" s="2"/>
      <c r="E152" s="2"/>
      <c r="F152" s="2"/>
      <c r="G152" s="2"/>
      <c r="H152" s="2"/>
      <c r="I152" s="40">
        <v>8760</v>
      </c>
      <c r="J152" s="26">
        <v>0.71434848500000003</v>
      </c>
      <c r="K152" s="26">
        <v>0.44</v>
      </c>
      <c r="N152" s="26">
        <v>0.59</v>
      </c>
      <c r="Q152" s="26">
        <v>0.36</v>
      </c>
      <c r="T152" s="26">
        <v>0.34499999999999997</v>
      </c>
      <c r="W152" s="26">
        <v>0</v>
      </c>
      <c r="Z152" s="26">
        <v>0</v>
      </c>
      <c r="AC152" s="26">
        <v>0.52</v>
      </c>
      <c r="AF152" s="26">
        <v>0.3</v>
      </c>
      <c r="AI152" s="26">
        <v>0.27</v>
      </c>
      <c r="AL152" s="26">
        <v>0.45500000000000002</v>
      </c>
      <c r="AO152" s="26">
        <v>0.20499999999999999</v>
      </c>
      <c r="AR152" s="26">
        <v>0.21</v>
      </c>
      <c r="AU152" s="26">
        <v>0.22</v>
      </c>
      <c r="AX152" s="26">
        <v>0</v>
      </c>
      <c r="BA152" s="26">
        <v>0</v>
      </c>
    </row>
    <row r="153" spans="1:53" s="28" customFormat="1" ht="21" x14ac:dyDescent="0.35">
      <c r="A153" s="1"/>
      <c r="B153" s="2"/>
      <c r="C153" s="2"/>
      <c r="D153" s="2"/>
      <c r="E153" s="2"/>
      <c r="F153" s="2"/>
      <c r="G153" s="2"/>
      <c r="H153" s="2"/>
      <c r="I153" s="40">
        <v>8820</v>
      </c>
      <c r="J153" s="26">
        <v>0.71010909050000004</v>
      </c>
      <c r="K153" s="26">
        <v>0.44</v>
      </c>
      <c r="N153" s="26">
        <v>0.58499999999999996</v>
      </c>
      <c r="Q153" s="26">
        <v>0.35</v>
      </c>
      <c r="T153" s="26">
        <v>0.34</v>
      </c>
      <c r="W153" s="26">
        <v>0</v>
      </c>
      <c r="Z153" s="26">
        <v>0</v>
      </c>
      <c r="AC153" s="26">
        <v>0.51</v>
      </c>
      <c r="AF153" s="26">
        <v>0.29499999999999998</v>
      </c>
      <c r="AI153" s="26">
        <v>0.26</v>
      </c>
      <c r="AL153" s="26">
        <v>0.45</v>
      </c>
      <c r="AO153" s="26">
        <v>0.19500000000000001</v>
      </c>
      <c r="AR153" s="26">
        <v>0.2</v>
      </c>
      <c r="AU153" s="26">
        <v>0.21</v>
      </c>
      <c r="AX153" s="26">
        <v>0</v>
      </c>
      <c r="BA153" s="26">
        <v>0</v>
      </c>
    </row>
    <row r="154" spans="1:53" s="28" customFormat="1" ht="21" x14ac:dyDescent="0.35">
      <c r="A154" s="1"/>
      <c r="B154" s="2"/>
      <c r="C154" s="2"/>
      <c r="D154" s="2"/>
      <c r="E154" s="2"/>
      <c r="F154" s="2"/>
      <c r="G154" s="2"/>
      <c r="H154" s="2"/>
      <c r="I154" s="40">
        <v>8880</v>
      </c>
      <c r="J154" s="26">
        <v>0.7052545455</v>
      </c>
      <c r="K154" s="26">
        <v>0.44</v>
      </c>
      <c r="N154" s="26">
        <v>0.57999999999999996</v>
      </c>
      <c r="Q154" s="26">
        <v>0.35</v>
      </c>
      <c r="T154" s="26">
        <v>0.34</v>
      </c>
      <c r="W154" s="26">
        <v>0</v>
      </c>
      <c r="Z154" s="26">
        <v>0</v>
      </c>
      <c r="AC154" s="26">
        <v>0.505</v>
      </c>
      <c r="AF154" s="26">
        <v>0.28999999999999998</v>
      </c>
      <c r="AI154" s="26">
        <v>0.255</v>
      </c>
      <c r="AL154" s="26">
        <v>0.44</v>
      </c>
      <c r="AO154" s="26">
        <v>0.185</v>
      </c>
      <c r="AR154" s="26">
        <v>0.19</v>
      </c>
      <c r="AU154" s="26">
        <v>0.2</v>
      </c>
      <c r="AX154" s="26">
        <v>0</v>
      </c>
      <c r="BA154" s="26">
        <v>0</v>
      </c>
    </row>
    <row r="155" spans="1:53" s="28" customFormat="1" ht="21" x14ac:dyDescent="0.35">
      <c r="A155" s="1"/>
      <c r="B155" s="2"/>
      <c r="C155" s="2"/>
      <c r="D155" s="2"/>
      <c r="E155" s="2"/>
      <c r="F155" s="2"/>
      <c r="G155" s="2"/>
      <c r="H155" s="2"/>
      <c r="I155" s="40">
        <v>8940</v>
      </c>
      <c r="J155" s="26">
        <v>0.69979090899999996</v>
      </c>
      <c r="K155" s="26">
        <v>0.44</v>
      </c>
      <c r="N155" s="26">
        <v>0.57999999999999996</v>
      </c>
      <c r="Q155" s="26">
        <v>0.34499999999999997</v>
      </c>
      <c r="T155" s="26">
        <v>0.33</v>
      </c>
      <c r="W155" s="26">
        <v>0</v>
      </c>
      <c r="Z155" s="26">
        <v>0</v>
      </c>
      <c r="AC155" s="26">
        <v>0.5</v>
      </c>
      <c r="AF155" s="26">
        <v>0.28000000000000003</v>
      </c>
      <c r="AI155" s="26">
        <v>0.25</v>
      </c>
      <c r="AL155" s="26">
        <v>0.43</v>
      </c>
      <c r="AO155" s="26">
        <v>0.18</v>
      </c>
      <c r="AR155" s="26">
        <v>0.18</v>
      </c>
      <c r="AU155" s="26">
        <v>0.19</v>
      </c>
      <c r="AX155" s="26">
        <v>0</v>
      </c>
      <c r="BA155" s="26">
        <v>0</v>
      </c>
    </row>
    <row r="156" spans="1:53" s="28" customFormat="1" ht="21" x14ac:dyDescent="0.35">
      <c r="A156" s="1"/>
      <c r="B156" s="2"/>
      <c r="C156" s="2"/>
      <c r="D156" s="2"/>
      <c r="E156" s="2"/>
      <c r="F156" s="2"/>
      <c r="G156" s="2"/>
      <c r="H156" s="2"/>
      <c r="I156" s="40">
        <v>9000</v>
      </c>
      <c r="J156" s="26">
        <v>0.69447878750000003</v>
      </c>
      <c r="K156" s="26">
        <v>0.44</v>
      </c>
      <c r="N156" s="26">
        <v>0.56999999999999995</v>
      </c>
      <c r="Q156" s="26">
        <v>0.34</v>
      </c>
      <c r="T156" s="26">
        <v>0.33</v>
      </c>
      <c r="W156" s="26">
        <v>0</v>
      </c>
      <c r="Z156" s="26">
        <v>0</v>
      </c>
      <c r="AC156" s="26">
        <v>0.495</v>
      </c>
      <c r="AF156" s="26">
        <v>0.28000000000000003</v>
      </c>
      <c r="AI156" s="26">
        <v>0.245</v>
      </c>
      <c r="AL156" s="26">
        <v>0.42</v>
      </c>
      <c r="AO156" s="26">
        <v>0.17</v>
      </c>
      <c r="AR156" s="26">
        <v>0.17</v>
      </c>
      <c r="AU156" s="26">
        <v>0.18</v>
      </c>
      <c r="AX156" s="26">
        <v>0</v>
      </c>
      <c r="BA156" s="26">
        <v>0</v>
      </c>
    </row>
    <row r="157" spans="1:53" s="28" customFormat="1" ht="21" x14ac:dyDescent="0.35">
      <c r="A157" s="1"/>
      <c r="B157" s="2"/>
      <c r="C157" s="2"/>
      <c r="D157" s="2"/>
      <c r="E157" s="2"/>
      <c r="F157" s="2"/>
      <c r="G157" s="2"/>
      <c r="H157" s="2"/>
      <c r="I157" s="40">
        <v>9060</v>
      </c>
      <c r="J157" s="26">
        <v>0.68949393950000004</v>
      </c>
      <c r="K157" s="26">
        <v>0.43</v>
      </c>
      <c r="N157" s="26">
        <v>0.56999999999999995</v>
      </c>
      <c r="Q157" s="26">
        <v>0.33500000000000002</v>
      </c>
      <c r="T157" s="26">
        <v>0.32500000000000001</v>
      </c>
      <c r="W157" s="26">
        <v>0</v>
      </c>
      <c r="Z157" s="26">
        <v>0</v>
      </c>
      <c r="AC157" s="26">
        <v>0.49</v>
      </c>
      <c r="AF157" s="26">
        <v>0.27</v>
      </c>
      <c r="AI157" s="26">
        <v>0.24</v>
      </c>
      <c r="AL157" s="26">
        <v>0.41</v>
      </c>
      <c r="AO157" s="26">
        <v>0.16</v>
      </c>
      <c r="AR157" s="26">
        <v>0.16</v>
      </c>
      <c r="AU157" s="26">
        <v>0.17</v>
      </c>
      <c r="AX157" s="26">
        <v>0</v>
      </c>
      <c r="BA157" s="26">
        <v>0</v>
      </c>
    </row>
    <row r="158" spans="1:53" s="28" customFormat="1" ht="21" x14ac:dyDescent="0.35">
      <c r="A158" s="1"/>
      <c r="B158" s="2"/>
      <c r="C158" s="2"/>
      <c r="D158" s="2"/>
      <c r="E158" s="2"/>
      <c r="F158" s="2"/>
      <c r="G158" s="2"/>
      <c r="H158" s="2"/>
      <c r="I158" s="40">
        <v>9120</v>
      </c>
      <c r="J158" s="26">
        <v>0.684290909</v>
      </c>
      <c r="K158" s="26">
        <v>0.43</v>
      </c>
      <c r="N158" s="26">
        <v>0.56000000000000005</v>
      </c>
      <c r="Q158" s="26">
        <v>0.33</v>
      </c>
      <c r="T158" s="26">
        <v>0.32</v>
      </c>
      <c r="W158" s="26">
        <v>5.0000000000000001E-3</v>
      </c>
      <c r="Z158" s="26">
        <v>0.01</v>
      </c>
      <c r="AC158" s="26">
        <v>0.48</v>
      </c>
      <c r="AF158" s="26">
        <v>0.26500000000000001</v>
      </c>
      <c r="AI158" s="26">
        <v>0.23499999999999999</v>
      </c>
      <c r="AL158" s="26">
        <v>0.4</v>
      </c>
      <c r="AO158" s="26">
        <v>0.15</v>
      </c>
      <c r="AR158" s="26">
        <v>0.15</v>
      </c>
      <c r="AU158" s="26">
        <v>0.16</v>
      </c>
      <c r="AX158" s="26">
        <v>0</v>
      </c>
      <c r="BA158" s="26">
        <v>0</v>
      </c>
    </row>
    <row r="159" spans="1:53" s="28" customFormat="1" ht="21" x14ac:dyDescent="0.35">
      <c r="A159" s="1"/>
      <c r="B159" s="2"/>
      <c r="C159" s="2"/>
      <c r="D159" s="2"/>
      <c r="E159" s="2"/>
      <c r="F159" s="2"/>
      <c r="G159" s="2"/>
      <c r="H159" s="2"/>
      <c r="I159" s="40">
        <v>9180</v>
      </c>
      <c r="J159" s="26">
        <v>0.67974545450000001</v>
      </c>
      <c r="K159" s="26">
        <v>0.43</v>
      </c>
      <c r="N159" s="26">
        <v>0.56000000000000005</v>
      </c>
      <c r="Q159" s="26">
        <v>0.32500000000000001</v>
      </c>
      <c r="T159" s="26">
        <v>0.315</v>
      </c>
      <c r="W159" s="26">
        <v>0.01</v>
      </c>
      <c r="Z159" s="26">
        <v>0.01</v>
      </c>
      <c r="AC159" s="26">
        <v>0.47499999999999998</v>
      </c>
      <c r="AF159" s="26">
        <v>0.26</v>
      </c>
      <c r="AI159" s="26">
        <v>0.23</v>
      </c>
      <c r="AL159" s="26">
        <v>0.39</v>
      </c>
      <c r="AO159" s="26">
        <v>0.14000000000000001</v>
      </c>
      <c r="AR159" s="26">
        <v>0.14000000000000001</v>
      </c>
      <c r="AU159" s="26">
        <v>0.15</v>
      </c>
      <c r="AX159" s="26">
        <v>0</v>
      </c>
      <c r="BA159" s="26">
        <v>0</v>
      </c>
    </row>
    <row r="160" spans="1:53" s="28" customFormat="1" ht="21" x14ac:dyDescent="0.35">
      <c r="A160" s="1"/>
      <c r="B160" s="2"/>
      <c r="C160" s="2"/>
      <c r="D160" s="2"/>
      <c r="E160" s="2"/>
      <c r="F160" s="2"/>
      <c r="G160" s="2"/>
      <c r="H160" s="2"/>
      <c r="I160" s="40">
        <v>9240</v>
      </c>
      <c r="J160" s="26">
        <v>0.67379696950000001</v>
      </c>
      <c r="K160" s="26">
        <v>0.43</v>
      </c>
      <c r="N160" s="26">
        <v>0.55000000000000004</v>
      </c>
      <c r="Q160" s="26">
        <v>0.32</v>
      </c>
      <c r="T160" s="26">
        <v>0.31</v>
      </c>
      <c r="W160" s="26">
        <v>0.01</v>
      </c>
      <c r="Z160" s="26">
        <v>0.01</v>
      </c>
      <c r="AC160" s="26">
        <v>0.47</v>
      </c>
      <c r="AF160" s="26">
        <v>0.25</v>
      </c>
      <c r="AI160" s="26">
        <v>0.22</v>
      </c>
      <c r="AL160" s="26">
        <v>0.38</v>
      </c>
      <c r="AO160" s="26">
        <v>0.13</v>
      </c>
      <c r="AR160" s="26">
        <v>0.13</v>
      </c>
      <c r="AU160" s="26">
        <v>0.14000000000000001</v>
      </c>
      <c r="AX160" s="26">
        <v>0</v>
      </c>
      <c r="BA160" s="26">
        <v>0.01</v>
      </c>
    </row>
    <row r="161" spans="1:53" s="28" customFormat="1" ht="21" x14ac:dyDescent="0.35">
      <c r="A161" s="1"/>
      <c r="B161" s="2"/>
      <c r="C161" s="2"/>
      <c r="D161" s="2"/>
      <c r="E161" s="2"/>
      <c r="F161" s="2"/>
      <c r="G161" s="2"/>
      <c r="H161" s="2"/>
      <c r="I161" s="40">
        <v>9300</v>
      </c>
      <c r="J161" s="26">
        <v>0.66778484849999997</v>
      </c>
      <c r="K161" s="26">
        <v>0.43</v>
      </c>
      <c r="N161" s="26">
        <v>0.55000000000000004</v>
      </c>
      <c r="Q161" s="26">
        <v>0.315</v>
      </c>
      <c r="T161" s="26">
        <v>0.30499999999999999</v>
      </c>
      <c r="W161" s="26">
        <v>0.01</v>
      </c>
      <c r="Z161" s="26">
        <v>0.01</v>
      </c>
      <c r="AC161" s="26">
        <v>0.46</v>
      </c>
      <c r="AF161" s="26">
        <v>0.245</v>
      </c>
      <c r="AI161" s="26">
        <v>0.215</v>
      </c>
      <c r="AL161" s="26">
        <v>0.37</v>
      </c>
      <c r="AO161" s="26">
        <v>0.12</v>
      </c>
      <c r="AR161" s="26">
        <v>0.12</v>
      </c>
      <c r="AU161" s="26">
        <v>0.13</v>
      </c>
      <c r="AX161" s="26">
        <v>0</v>
      </c>
      <c r="BA161" s="26">
        <v>0.01</v>
      </c>
    </row>
    <row r="162" spans="1:53" s="28" customFormat="1" ht="21" x14ac:dyDescent="0.35">
      <c r="A162" s="1"/>
      <c r="B162" s="2"/>
      <c r="C162" s="2"/>
      <c r="D162" s="2"/>
      <c r="E162" s="2"/>
      <c r="F162" s="2"/>
      <c r="G162" s="2"/>
      <c r="H162" s="2"/>
      <c r="I162" s="40">
        <v>9360</v>
      </c>
      <c r="J162" s="26">
        <v>0.66191818150000004</v>
      </c>
      <c r="K162" s="26">
        <v>0.42</v>
      </c>
      <c r="N162" s="26">
        <v>0.54</v>
      </c>
      <c r="Q162" s="26">
        <v>0.31</v>
      </c>
      <c r="T162" s="26">
        <v>0.3</v>
      </c>
      <c r="W162" s="26">
        <v>0.01</v>
      </c>
      <c r="Z162" s="26">
        <v>0.01</v>
      </c>
      <c r="AC162" s="26">
        <v>0.45500000000000002</v>
      </c>
      <c r="AF162" s="26">
        <v>0.24</v>
      </c>
      <c r="AI162" s="26">
        <v>0.21</v>
      </c>
      <c r="AL162" s="26">
        <v>0.36</v>
      </c>
      <c r="AO162" s="26">
        <v>0.11</v>
      </c>
      <c r="AR162" s="26">
        <v>0.11</v>
      </c>
      <c r="AU162" s="26">
        <v>0.125</v>
      </c>
      <c r="AX162" s="26">
        <v>0</v>
      </c>
      <c r="BA162" s="26">
        <v>0.01</v>
      </c>
    </row>
    <row r="163" spans="1:53" s="28" customFormat="1" ht="21" x14ac:dyDescent="0.35">
      <c r="A163" s="1"/>
      <c r="B163" s="2"/>
      <c r="C163" s="2"/>
      <c r="D163" s="2"/>
      <c r="E163" s="2"/>
      <c r="F163" s="2"/>
      <c r="G163" s="2"/>
      <c r="H163" s="2"/>
      <c r="I163" s="40">
        <v>9420</v>
      </c>
      <c r="J163" s="26">
        <v>0.65590909100000006</v>
      </c>
      <c r="K163" s="26">
        <v>0.42</v>
      </c>
      <c r="N163" s="26">
        <v>0.54</v>
      </c>
      <c r="Q163" s="26">
        <v>0.3</v>
      </c>
      <c r="T163" s="26">
        <v>0.28999999999999998</v>
      </c>
      <c r="W163" s="26">
        <v>0.01</v>
      </c>
      <c r="Z163" s="26">
        <v>0.01</v>
      </c>
      <c r="AC163" s="26">
        <v>0.45</v>
      </c>
      <c r="AF163" s="26">
        <v>0.23</v>
      </c>
      <c r="AI163" s="26">
        <v>0.2</v>
      </c>
      <c r="AL163" s="26">
        <v>0.35</v>
      </c>
      <c r="AO163" s="26">
        <v>0.105</v>
      </c>
      <c r="AR163" s="26">
        <v>0.1</v>
      </c>
      <c r="AU163" s="26">
        <v>0.115</v>
      </c>
      <c r="AX163" s="26">
        <v>0</v>
      </c>
      <c r="BA163" s="26">
        <v>0.01</v>
      </c>
    </row>
    <row r="164" spans="1:53" s="28" customFormat="1" ht="21" x14ac:dyDescent="0.35">
      <c r="A164" s="1"/>
      <c r="B164" s="2"/>
      <c r="C164" s="2"/>
      <c r="D164" s="2"/>
      <c r="E164" s="2"/>
      <c r="F164" s="2"/>
      <c r="G164" s="2"/>
      <c r="H164" s="2"/>
      <c r="I164" s="40">
        <v>9480</v>
      </c>
      <c r="J164" s="26">
        <v>0.64964242449999998</v>
      </c>
      <c r="K164" s="26">
        <v>0.42</v>
      </c>
      <c r="N164" s="26">
        <v>0.53</v>
      </c>
      <c r="Q164" s="26">
        <v>0.3</v>
      </c>
      <c r="T164" s="26">
        <v>0.28999999999999998</v>
      </c>
      <c r="W164" s="26">
        <v>0.01</v>
      </c>
      <c r="Z164" s="26">
        <v>0.01</v>
      </c>
      <c r="AC164" s="26">
        <v>0.44500000000000001</v>
      </c>
      <c r="AF164" s="26">
        <v>0.22500000000000001</v>
      </c>
      <c r="AI164" s="26">
        <v>0.19500000000000001</v>
      </c>
      <c r="AL164" s="26">
        <v>0.34</v>
      </c>
      <c r="AO164" s="26">
        <v>9.5000000000000001E-2</v>
      </c>
      <c r="AR164" s="26">
        <v>0.09</v>
      </c>
      <c r="AU164" s="26">
        <v>0.105</v>
      </c>
      <c r="AX164" s="26">
        <v>0</v>
      </c>
      <c r="BA164" s="26">
        <v>0.01</v>
      </c>
    </row>
    <row r="165" spans="1:53" s="28" customFormat="1" ht="21" x14ac:dyDescent="0.35">
      <c r="A165" s="1"/>
      <c r="B165" s="2"/>
      <c r="C165" s="2"/>
      <c r="D165" s="2"/>
      <c r="E165" s="2"/>
      <c r="F165" s="2"/>
      <c r="G165" s="2"/>
      <c r="H165" s="2"/>
      <c r="I165" s="40">
        <v>9540</v>
      </c>
      <c r="J165" s="26">
        <v>0.64355454550000002</v>
      </c>
      <c r="K165" s="26">
        <v>0.42</v>
      </c>
      <c r="N165" s="26">
        <v>0.53</v>
      </c>
      <c r="Q165" s="26">
        <v>0.28999999999999998</v>
      </c>
      <c r="T165" s="26">
        <v>0.28000000000000003</v>
      </c>
      <c r="W165" s="26">
        <v>0.01</v>
      </c>
      <c r="Z165" s="26">
        <v>0.01</v>
      </c>
      <c r="AC165" s="26">
        <v>0.44</v>
      </c>
      <c r="AF165" s="26">
        <v>0.22</v>
      </c>
      <c r="AI165" s="26">
        <v>0.19</v>
      </c>
      <c r="AL165" s="26">
        <v>0.33</v>
      </c>
      <c r="AO165" s="26">
        <v>8.5000000000000006E-2</v>
      </c>
      <c r="AR165" s="26">
        <v>0.08</v>
      </c>
      <c r="AU165" s="26">
        <v>9.5000000000000001E-2</v>
      </c>
      <c r="AX165" s="26">
        <v>0</v>
      </c>
      <c r="BA165" s="26">
        <v>0.01</v>
      </c>
    </row>
    <row r="166" spans="1:53" s="28" customFormat="1" ht="21" x14ac:dyDescent="0.35">
      <c r="A166" s="1"/>
      <c r="B166" s="2"/>
      <c r="C166" s="2"/>
      <c r="D166" s="2"/>
      <c r="E166" s="2"/>
      <c r="F166" s="2"/>
      <c r="G166" s="2"/>
      <c r="H166" s="2"/>
      <c r="I166" s="40">
        <v>9600</v>
      </c>
      <c r="J166" s="26">
        <v>0.63738484849999999</v>
      </c>
      <c r="K166" s="26">
        <v>0.41499999999999998</v>
      </c>
      <c r="N166" s="26">
        <v>0.52</v>
      </c>
      <c r="Q166" s="26">
        <v>0.28999999999999998</v>
      </c>
      <c r="T166" s="26">
        <v>0.28000000000000003</v>
      </c>
      <c r="W166" s="26">
        <v>0.01</v>
      </c>
      <c r="Z166" s="26">
        <v>0.01</v>
      </c>
      <c r="AC166" s="26">
        <v>0.43</v>
      </c>
      <c r="AF166" s="26">
        <v>0.21</v>
      </c>
      <c r="AI166" s="26">
        <v>0.18</v>
      </c>
      <c r="AL166" s="26">
        <v>0.32</v>
      </c>
      <c r="AO166" s="26">
        <v>7.4999999999999997E-2</v>
      </c>
      <c r="AR166" s="26">
        <v>7.0000000000000007E-2</v>
      </c>
      <c r="AU166" s="26">
        <v>0.09</v>
      </c>
      <c r="AX166" s="26">
        <v>0</v>
      </c>
      <c r="BA166" s="26">
        <v>0.01</v>
      </c>
    </row>
    <row r="167" spans="1:53" s="28" customFormat="1" ht="21" x14ac:dyDescent="0.35">
      <c r="A167" s="1"/>
      <c r="B167" s="2"/>
      <c r="C167" s="2"/>
      <c r="D167" s="2"/>
      <c r="E167" s="2"/>
      <c r="F167" s="2"/>
      <c r="G167" s="2"/>
      <c r="H167" s="2"/>
      <c r="I167" s="40">
        <v>9660</v>
      </c>
      <c r="J167" s="26">
        <v>0.63029999999999997</v>
      </c>
      <c r="K167" s="26">
        <v>0.41</v>
      </c>
      <c r="N167" s="26">
        <v>0.52</v>
      </c>
      <c r="Q167" s="26">
        <v>0.28000000000000003</v>
      </c>
      <c r="T167" s="26">
        <v>0.27</v>
      </c>
      <c r="W167" s="26">
        <v>0.01</v>
      </c>
      <c r="Z167" s="26">
        <v>0.01</v>
      </c>
      <c r="AC167" s="26">
        <v>0.42</v>
      </c>
      <c r="AF167" s="26">
        <v>0.20499999999999999</v>
      </c>
      <c r="AI167" s="26">
        <v>0.17499999999999999</v>
      </c>
      <c r="AL167" s="26">
        <v>0.31</v>
      </c>
      <c r="AO167" s="26">
        <v>6.5000000000000002E-2</v>
      </c>
      <c r="AR167" s="26">
        <v>0.06</v>
      </c>
      <c r="AU167" s="26">
        <v>0.08</v>
      </c>
      <c r="AX167" s="26">
        <v>0</v>
      </c>
      <c r="BA167" s="26">
        <v>0.01</v>
      </c>
    </row>
    <row r="168" spans="1:53" s="28" customFormat="1" ht="21" x14ac:dyDescent="0.35">
      <c r="A168" s="1"/>
      <c r="B168" s="2"/>
      <c r="C168" s="2"/>
      <c r="D168" s="2"/>
      <c r="E168" s="2"/>
      <c r="F168" s="2"/>
      <c r="G168" s="2"/>
      <c r="H168" s="2"/>
      <c r="I168" s="40">
        <v>9720</v>
      </c>
      <c r="J168" s="26">
        <v>0.62390000000000001</v>
      </c>
      <c r="K168" s="26">
        <v>0.41</v>
      </c>
      <c r="N168" s="26">
        <v>0.51</v>
      </c>
      <c r="Q168" s="26">
        <v>0.28000000000000003</v>
      </c>
      <c r="T168" s="26">
        <v>0.27</v>
      </c>
      <c r="W168" s="26">
        <v>0.01</v>
      </c>
      <c r="Z168" s="26">
        <v>0.01</v>
      </c>
      <c r="AC168" s="26">
        <v>0.41499999999999998</v>
      </c>
      <c r="AF168" s="26">
        <v>0.2</v>
      </c>
      <c r="AI168" s="26">
        <v>0.17</v>
      </c>
      <c r="AL168" s="26">
        <v>0.3</v>
      </c>
      <c r="AO168" s="26">
        <v>5.5E-2</v>
      </c>
      <c r="AR168" s="26">
        <v>5.5E-2</v>
      </c>
      <c r="AU168" s="26">
        <v>7.0000000000000007E-2</v>
      </c>
      <c r="AX168" s="26">
        <v>0</v>
      </c>
      <c r="BA168" s="26">
        <v>0.01</v>
      </c>
    </row>
    <row r="169" spans="1:53" s="28" customFormat="1" ht="21" x14ac:dyDescent="0.35">
      <c r="A169" s="1"/>
      <c r="B169" s="2"/>
      <c r="C169" s="2"/>
      <c r="D169" s="2"/>
      <c r="E169" s="2"/>
      <c r="F169" s="2"/>
      <c r="G169" s="2"/>
      <c r="H169" s="2"/>
      <c r="I169" s="40">
        <v>9780</v>
      </c>
      <c r="J169" s="26">
        <v>0.61686969700000005</v>
      </c>
      <c r="K169" s="26">
        <v>0.41</v>
      </c>
      <c r="N169" s="26">
        <v>0.51</v>
      </c>
      <c r="Q169" s="26">
        <v>0.27</v>
      </c>
      <c r="T169" s="26">
        <v>0.26</v>
      </c>
      <c r="W169" s="26">
        <v>0.01</v>
      </c>
      <c r="Z169" s="26">
        <v>0.01</v>
      </c>
      <c r="AC169" s="26">
        <v>0.41</v>
      </c>
      <c r="AF169" s="26">
        <v>0.19</v>
      </c>
      <c r="AI169" s="26">
        <v>0.16</v>
      </c>
      <c r="AL169" s="26">
        <v>0.28999999999999998</v>
      </c>
      <c r="AO169" s="26">
        <v>4.4999999999999998E-2</v>
      </c>
      <c r="AR169" s="26">
        <v>4.4999999999999998E-2</v>
      </c>
      <c r="AU169" s="26">
        <v>0.06</v>
      </c>
      <c r="AX169" s="26">
        <v>0</v>
      </c>
      <c r="BA169" s="26">
        <v>0.01</v>
      </c>
    </row>
    <row r="170" spans="1:53" s="28" customFormat="1" ht="21" x14ac:dyDescent="0.35">
      <c r="A170" s="1"/>
      <c r="B170" s="2"/>
      <c r="C170" s="2"/>
      <c r="D170" s="2"/>
      <c r="E170" s="2"/>
      <c r="F170" s="2"/>
      <c r="G170" s="2"/>
      <c r="H170" s="2"/>
      <c r="I170" s="40">
        <v>9840</v>
      </c>
      <c r="J170" s="26">
        <v>0.61071212100000005</v>
      </c>
      <c r="K170" s="26">
        <v>0.40500000000000003</v>
      </c>
      <c r="N170" s="26">
        <v>0.5</v>
      </c>
      <c r="Q170" s="26">
        <v>0.26500000000000001</v>
      </c>
      <c r="T170" s="26">
        <v>0.255</v>
      </c>
      <c r="W170" s="26">
        <v>0.01</v>
      </c>
      <c r="Z170" s="26">
        <v>0.01</v>
      </c>
      <c r="AC170" s="26">
        <v>0.4</v>
      </c>
      <c r="AF170" s="26">
        <v>0.18</v>
      </c>
      <c r="AI170" s="26">
        <v>0.155</v>
      </c>
      <c r="AL170" s="26">
        <v>0.28000000000000003</v>
      </c>
      <c r="AO170" s="26">
        <v>3.5000000000000003E-2</v>
      </c>
      <c r="AR170" s="26">
        <v>3.5000000000000003E-2</v>
      </c>
      <c r="AU170" s="26">
        <v>5.5E-2</v>
      </c>
      <c r="AX170" s="26">
        <v>0</v>
      </c>
      <c r="BA170" s="26">
        <v>0.01</v>
      </c>
    </row>
    <row r="171" spans="1:53" s="28" customFormat="1" ht="21" x14ac:dyDescent="0.35">
      <c r="A171" s="1"/>
      <c r="B171" s="2"/>
      <c r="C171" s="2"/>
      <c r="D171" s="2"/>
      <c r="E171" s="2"/>
      <c r="F171" s="2"/>
      <c r="G171" s="2"/>
      <c r="H171" s="2"/>
      <c r="I171" s="40">
        <v>9900</v>
      </c>
      <c r="J171" s="26">
        <v>0.60331212099999998</v>
      </c>
      <c r="K171" s="26">
        <v>0.4</v>
      </c>
      <c r="N171" s="26">
        <v>0.495</v>
      </c>
      <c r="Q171" s="26">
        <v>0.26</v>
      </c>
      <c r="T171" s="26">
        <v>0.25</v>
      </c>
      <c r="W171" s="26">
        <v>0.01</v>
      </c>
      <c r="Z171" s="26">
        <v>0.01</v>
      </c>
      <c r="AC171" s="26">
        <v>0.39500000000000002</v>
      </c>
      <c r="AF171" s="26">
        <v>0.17499999999999999</v>
      </c>
      <c r="AI171" s="26">
        <v>0.15</v>
      </c>
      <c r="AL171" s="26">
        <v>0.27</v>
      </c>
      <c r="AO171" s="26">
        <v>2.5000000000000001E-2</v>
      </c>
      <c r="AR171" s="26">
        <v>2.5000000000000001E-2</v>
      </c>
      <c r="AU171" s="26">
        <v>4.4999999999999998E-2</v>
      </c>
      <c r="AX171" s="26">
        <v>0</v>
      </c>
      <c r="BA171" s="26">
        <v>0.01</v>
      </c>
    </row>
    <row r="172" spans="1:53" s="28" customFormat="1" ht="21" x14ac:dyDescent="0.35">
      <c r="A172" s="1"/>
      <c r="B172" s="2"/>
      <c r="C172" s="2"/>
      <c r="D172" s="2"/>
      <c r="E172" s="2"/>
      <c r="F172" s="2"/>
      <c r="G172" s="2"/>
      <c r="H172" s="2"/>
      <c r="I172" s="40">
        <v>9960</v>
      </c>
      <c r="J172" s="26">
        <v>0.59653333350000004</v>
      </c>
      <c r="K172" s="26">
        <v>0.4</v>
      </c>
      <c r="N172" s="26">
        <v>0.49</v>
      </c>
      <c r="Q172" s="26">
        <v>0.255</v>
      </c>
      <c r="T172" s="26">
        <v>0.245</v>
      </c>
      <c r="W172" s="26">
        <v>0.01</v>
      </c>
      <c r="Z172" s="26">
        <v>0.01</v>
      </c>
      <c r="AC172" s="26">
        <v>0.38500000000000001</v>
      </c>
      <c r="AF172" s="26">
        <v>0.17</v>
      </c>
      <c r="AI172" s="26">
        <v>0.14000000000000001</v>
      </c>
      <c r="AL172" s="26">
        <v>0.26500000000000001</v>
      </c>
      <c r="AO172" s="26">
        <v>0.02</v>
      </c>
      <c r="AR172" s="26">
        <v>0.02</v>
      </c>
      <c r="AU172" s="26">
        <v>0.04</v>
      </c>
      <c r="AX172" s="26">
        <v>0</v>
      </c>
      <c r="BA172" s="26">
        <v>0.01</v>
      </c>
    </row>
    <row r="173" spans="1:53" s="28" customFormat="1" ht="21" x14ac:dyDescent="0.35">
      <c r="A173" s="1"/>
      <c r="B173" s="2"/>
      <c r="C173" s="2"/>
      <c r="D173" s="2"/>
      <c r="E173" s="2"/>
      <c r="F173" s="2"/>
      <c r="G173" s="2"/>
      <c r="H173" s="2"/>
      <c r="I173" s="40">
        <v>10020</v>
      </c>
      <c r="J173" s="26">
        <v>0.58966060600000003</v>
      </c>
      <c r="K173" s="26">
        <v>0.4</v>
      </c>
      <c r="N173" s="26">
        <v>0.48499999999999999</v>
      </c>
      <c r="Q173" s="26">
        <v>0.25</v>
      </c>
      <c r="T173" s="26">
        <v>0.24</v>
      </c>
      <c r="W173" s="26">
        <v>0.01</v>
      </c>
      <c r="Z173" s="26">
        <v>0.01</v>
      </c>
      <c r="AC173" s="26">
        <v>0.38</v>
      </c>
      <c r="AF173" s="26">
        <v>0.16</v>
      </c>
      <c r="AI173" s="26">
        <v>0.13</v>
      </c>
      <c r="AL173" s="26">
        <v>0.255</v>
      </c>
      <c r="AO173" s="26">
        <v>0.01</v>
      </c>
      <c r="AR173" s="26">
        <v>0.01</v>
      </c>
      <c r="AU173" s="26">
        <v>0.03</v>
      </c>
      <c r="AX173" s="26">
        <v>5.0000000000000001E-3</v>
      </c>
      <c r="BA173" s="26">
        <v>0.01</v>
      </c>
    </row>
    <row r="174" spans="1:53" s="28" customFormat="1" ht="21" x14ac:dyDescent="0.35">
      <c r="A174" s="1"/>
      <c r="B174" s="2"/>
      <c r="C174" s="2"/>
      <c r="D174" s="2"/>
      <c r="E174" s="2"/>
      <c r="F174" s="2"/>
      <c r="G174" s="2"/>
      <c r="H174" s="2"/>
      <c r="I174" s="40">
        <v>10080</v>
      </c>
      <c r="J174" s="26">
        <v>0.58559090899999999</v>
      </c>
      <c r="K174" s="26">
        <v>0.4</v>
      </c>
      <c r="N174" s="26">
        <v>0.48499999999999999</v>
      </c>
      <c r="Q174" s="26">
        <v>0.25</v>
      </c>
      <c r="T174" s="26">
        <v>0.24</v>
      </c>
      <c r="W174" s="26">
        <v>0.01</v>
      </c>
      <c r="Z174" s="26">
        <v>0.01</v>
      </c>
      <c r="AC174" s="26">
        <v>0.37</v>
      </c>
      <c r="AF174" s="26">
        <v>0.15</v>
      </c>
      <c r="AI174" s="26">
        <v>0.125</v>
      </c>
      <c r="AL174" s="26">
        <v>0.25</v>
      </c>
      <c r="AO174" s="26">
        <v>5.0000000000000001E-3</v>
      </c>
      <c r="AR174" s="26">
        <v>5.0000000000000001E-3</v>
      </c>
      <c r="AU174" s="26">
        <v>2.5000000000000001E-2</v>
      </c>
      <c r="AX174" s="26">
        <v>0.01</v>
      </c>
      <c r="BA174" s="26">
        <v>0.01</v>
      </c>
    </row>
    <row r="175" spans="1:53" s="28" customFormat="1" ht="21" x14ac:dyDescent="0.35">
      <c r="A175" s="1"/>
      <c r="B175" s="2"/>
      <c r="C175" s="2"/>
      <c r="D175" s="2"/>
      <c r="E175" s="2"/>
      <c r="F175" s="2"/>
      <c r="G175" s="2"/>
      <c r="H175" s="2"/>
      <c r="I175" s="40">
        <v>10140</v>
      </c>
      <c r="J175" s="26">
        <v>0.62032727249999997</v>
      </c>
      <c r="K175" s="26">
        <v>0.4</v>
      </c>
      <c r="N175" s="26">
        <v>0.495</v>
      </c>
      <c r="Q175" s="26">
        <v>0.25</v>
      </c>
      <c r="T175" s="26">
        <v>0.245</v>
      </c>
      <c r="W175" s="26">
        <v>0.01</v>
      </c>
      <c r="Z175" s="26">
        <v>0.01</v>
      </c>
      <c r="AC175" s="26">
        <v>0.38</v>
      </c>
      <c r="AF175" s="26">
        <v>0.15</v>
      </c>
      <c r="AI175" s="26">
        <v>0.125</v>
      </c>
      <c r="AL175" s="26">
        <v>0.24</v>
      </c>
      <c r="AO175" s="26">
        <v>0</v>
      </c>
      <c r="AR175" s="26">
        <v>0</v>
      </c>
      <c r="AU175" s="26">
        <v>0.02</v>
      </c>
      <c r="AX175" s="26">
        <v>0.01</v>
      </c>
      <c r="BA175" s="26">
        <v>0.01</v>
      </c>
    </row>
    <row r="176" spans="1:53" s="28" customFormat="1" ht="21" x14ac:dyDescent="0.35">
      <c r="A176" s="1"/>
      <c r="B176" s="2"/>
      <c r="C176" s="2"/>
      <c r="D176" s="2"/>
      <c r="E176" s="2"/>
      <c r="F176" s="2"/>
      <c r="G176" s="2"/>
      <c r="H176" s="2"/>
      <c r="I176" s="40">
        <v>10200</v>
      </c>
      <c r="J176" s="26">
        <v>0.69688484849999999</v>
      </c>
      <c r="K176" s="26">
        <v>0.41</v>
      </c>
      <c r="N176" s="26">
        <v>0.505</v>
      </c>
      <c r="Q176" s="26">
        <v>0.26500000000000001</v>
      </c>
      <c r="T176" s="26">
        <v>0.26</v>
      </c>
      <c r="W176" s="26">
        <v>0.01</v>
      </c>
      <c r="Z176" s="26">
        <v>0.01</v>
      </c>
      <c r="AC176" s="26">
        <v>0.39500000000000002</v>
      </c>
      <c r="AF176" s="26">
        <v>0.16500000000000001</v>
      </c>
      <c r="AI176" s="26">
        <v>0.13500000000000001</v>
      </c>
      <c r="AL176" s="26">
        <v>0.25</v>
      </c>
      <c r="AO176" s="26">
        <v>5.0000000000000001E-3</v>
      </c>
      <c r="AR176" s="26">
        <v>5.0000000000000001E-3</v>
      </c>
      <c r="AU176" s="26">
        <v>1.4999999999999999E-2</v>
      </c>
      <c r="AX176" s="26">
        <v>0.01</v>
      </c>
      <c r="BA176" s="26">
        <v>0.01</v>
      </c>
    </row>
    <row r="177" spans="1:53" s="28" customFormat="1" ht="21" x14ac:dyDescent="0.35">
      <c r="A177" s="1"/>
      <c r="B177" s="2"/>
      <c r="C177" s="2"/>
      <c r="D177" s="2"/>
      <c r="E177" s="2"/>
      <c r="F177" s="2"/>
      <c r="G177" s="2"/>
      <c r="H177" s="2"/>
      <c r="I177" s="40">
        <v>10260</v>
      </c>
      <c r="J177" s="26">
        <v>0.77134848499999997</v>
      </c>
      <c r="K177" s="26">
        <v>0.41499999999999998</v>
      </c>
      <c r="N177" s="26">
        <v>0.52500000000000002</v>
      </c>
      <c r="Q177" s="26">
        <v>0.28000000000000003</v>
      </c>
      <c r="T177" s="26">
        <v>0.27500000000000002</v>
      </c>
      <c r="W177" s="26">
        <v>0.01</v>
      </c>
      <c r="Z177" s="26">
        <v>0.01</v>
      </c>
      <c r="AC177" s="26">
        <v>0.41499999999999998</v>
      </c>
      <c r="AF177" s="26">
        <v>0.185</v>
      </c>
      <c r="AI177" s="26">
        <v>0.155</v>
      </c>
      <c r="AL177" s="26">
        <v>0.26500000000000001</v>
      </c>
      <c r="AO177" s="26">
        <v>1.4999999999999999E-2</v>
      </c>
      <c r="AR177" s="26">
        <v>0.02</v>
      </c>
      <c r="AU177" s="26">
        <v>2.5000000000000001E-2</v>
      </c>
      <c r="AX177" s="26">
        <v>0.01</v>
      </c>
      <c r="BA177" s="26">
        <v>0.01</v>
      </c>
    </row>
    <row r="178" spans="1:53" s="28" customFormat="1" ht="21" x14ac:dyDescent="0.35">
      <c r="A178" s="1"/>
      <c r="B178" s="2"/>
      <c r="C178" s="2"/>
      <c r="D178" s="2"/>
      <c r="E178" s="2"/>
      <c r="F178" s="2"/>
      <c r="G178" s="2"/>
      <c r="H178" s="2"/>
      <c r="I178" s="40">
        <v>10320</v>
      </c>
      <c r="J178" s="26">
        <v>0.79391515150000003</v>
      </c>
      <c r="K178" s="26">
        <v>0.42</v>
      </c>
      <c r="N178" s="26">
        <v>0.54500000000000004</v>
      </c>
      <c r="Q178" s="26">
        <v>0.29499999999999998</v>
      </c>
      <c r="T178" s="26">
        <v>0.29499999999999998</v>
      </c>
      <c r="W178" s="26">
        <v>0.01</v>
      </c>
      <c r="Z178" s="26">
        <v>0.01</v>
      </c>
      <c r="AC178" s="26">
        <v>0.435</v>
      </c>
      <c r="AF178" s="26">
        <v>0.20499999999999999</v>
      </c>
      <c r="AI178" s="26">
        <v>0.17499999999999999</v>
      </c>
      <c r="AL178" s="26">
        <v>0.28499999999999998</v>
      </c>
      <c r="AO178" s="26">
        <v>0.03</v>
      </c>
      <c r="AR178" s="26">
        <v>3.5000000000000003E-2</v>
      </c>
      <c r="AU178" s="26">
        <v>4.4999999999999998E-2</v>
      </c>
      <c r="AX178" s="26">
        <v>0.01</v>
      </c>
      <c r="BA178" s="26">
        <v>0.01</v>
      </c>
    </row>
    <row r="179" spans="1:53" s="28" customFormat="1" ht="21" x14ac:dyDescent="0.35">
      <c r="A179" s="1"/>
      <c r="B179" s="2"/>
      <c r="C179" s="2"/>
      <c r="D179" s="2"/>
      <c r="E179" s="2"/>
      <c r="F179" s="2"/>
      <c r="G179" s="2"/>
      <c r="H179" s="2"/>
      <c r="I179" s="40">
        <v>10380</v>
      </c>
      <c r="J179" s="26">
        <v>0.7910575755</v>
      </c>
      <c r="K179" s="26">
        <v>0.42499999999999999</v>
      </c>
      <c r="N179" s="26">
        <v>0.55000000000000004</v>
      </c>
      <c r="Q179" s="26">
        <v>0.31</v>
      </c>
      <c r="T179" s="26">
        <v>0.30499999999999999</v>
      </c>
      <c r="W179" s="26">
        <v>0.01</v>
      </c>
      <c r="Z179" s="26">
        <v>0.01</v>
      </c>
      <c r="AC179" s="26">
        <v>0.45500000000000002</v>
      </c>
      <c r="AF179" s="26">
        <v>0.22500000000000001</v>
      </c>
      <c r="AI179" s="26">
        <v>0.19500000000000001</v>
      </c>
      <c r="AL179" s="26">
        <v>0.30499999999999999</v>
      </c>
      <c r="AO179" s="26">
        <v>4.4999999999999998E-2</v>
      </c>
      <c r="AR179" s="26">
        <v>5.5E-2</v>
      </c>
      <c r="AU179" s="26">
        <v>6.5000000000000002E-2</v>
      </c>
      <c r="AX179" s="26">
        <v>0</v>
      </c>
      <c r="BA179" s="26">
        <v>0.01</v>
      </c>
    </row>
    <row r="180" spans="1:53" s="28" customFormat="1" ht="21" x14ac:dyDescent="0.35">
      <c r="A180" s="1"/>
      <c r="B180" s="2"/>
      <c r="C180" s="2"/>
      <c r="D180" s="2"/>
      <c r="E180" s="2"/>
      <c r="F180" s="2"/>
      <c r="G180" s="2"/>
      <c r="H180" s="2"/>
      <c r="I180" s="40">
        <v>10440</v>
      </c>
      <c r="J180" s="26">
        <v>0.78291212099999996</v>
      </c>
      <c r="K180" s="26">
        <v>0.43</v>
      </c>
      <c r="N180" s="26">
        <v>0.56000000000000005</v>
      </c>
      <c r="Q180" s="26">
        <v>0.32</v>
      </c>
      <c r="T180" s="26">
        <v>0.31</v>
      </c>
      <c r="W180" s="26">
        <v>0.01</v>
      </c>
      <c r="Z180" s="26">
        <v>0.01</v>
      </c>
      <c r="AC180" s="26">
        <v>0.46500000000000002</v>
      </c>
      <c r="AF180" s="26">
        <v>0.24</v>
      </c>
      <c r="AI180" s="26">
        <v>0.21</v>
      </c>
      <c r="AL180" s="26">
        <v>0.32500000000000001</v>
      </c>
      <c r="AO180" s="26">
        <v>6.5000000000000002E-2</v>
      </c>
      <c r="AR180" s="26">
        <v>7.4999999999999997E-2</v>
      </c>
      <c r="AU180" s="26">
        <v>8.5000000000000006E-2</v>
      </c>
      <c r="AX180" s="26">
        <v>0</v>
      </c>
      <c r="BA180" s="26">
        <v>0.01</v>
      </c>
    </row>
    <row r="181" spans="1:53" s="28" customFormat="1" ht="21" x14ac:dyDescent="0.35">
      <c r="A181" s="1"/>
      <c r="B181" s="2"/>
      <c r="C181" s="2"/>
      <c r="D181" s="2"/>
      <c r="E181" s="2"/>
      <c r="F181" s="2"/>
      <c r="G181" s="2"/>
      <c r="H181" s="2"/>
      <c r="I181" s="40">
        <v>10500</v>
      </c>
      <c r="J181" s="26">
        <v>0.77278787900000001</v>
      </c>
      <c r="K181" s="26">
        <v>0.42</v>
      </c>
      <c r="N181" s="26">
        <v>0.55000000000000004</v>
      </c>
      <c r="Q181" s="26">
        <v>0.32</v>
      </c>
      <c r="T181" s="26">
        <v>0.31</v>
      </c>
      <c r="W181" s="26">
        <v>0.01</v>
      </c>
      <c r="Z181" s="26">
        <v>0.01</v>
      </c>
      <c r="AC181" s="26">
        <v>0.47</v>
      </c>
      <c r="AF181" s="26">
        <v>0.245</v>
      </c>
      <c r="AI181" s="26">
        <v>0.22</v>
      </c>
      <c r="AL181" s="26">
        <v>0.33500000000000002</v>
      </c>
      <c r="AO181" s="26">
        <v>0.08</v>
      </c>
      <c r="AR181" s="26">
        <v>0.09</v>
      </c>
      <c r="AU181" s="26">
        <v>0.105</v>
      </c>
      <c r="AX181" s="26">
        <v>0</v>
      </c>
      <c r="BA181" s="26">
        <v>0.01</v>
      </c>
    </row>
    <row r="182" spans="1:53" s="28" customFormat="1" ht="21" x14ac:dyDescent="0.35">
      <c r="A182" s="1"/>
      <c r="B182" s="2"/>
      <c r="C182" s="2"/>
      <c r="D182" s="2"/>
      <c r="E182" s="2"/>
      <c r="F182" s="2"/>
      <c r="G182" s="2"/>
      <c r="H182" s="2"/>
      <c r="I182" s="40">
        <v>10560</v>
      </c>
      <c r="J182" s="26">
        <v>0.76067878799999999</v>
      </c>
      <c r="K182" s="26">
        <v>0.42</v>
      </c>
      <c r="N182" s="26">
        <v>0.55000000000000004</v>
      </c>
      <c r="Q182" s="26">
        <v>0.31</v>
      </c>
      <c r="T182" s="26">
        <v>0.31</v>
      </c>
      <c r="W182" s="26">
        <v>0.01</v>
      </c>
      <c r="Z182" s="26">
        <v>0.01</v>
      </c>
      <c r="AC182" s="26">
        <v>0.46500000000000002</v>
      </c>
      <c r="AF182" s="26">
        <v>0.24</v>
      </c>
      <c r="AI182" s="26">
        <v>0.22</v>
      </c>
      <c r="AL182" s="26">
        <v>0.34</v>
      </c>
      <c r="AO182" s="26">
        <v>8.5000000000000006E-2</v>
      </c>
      <c r="AR182" s="26">
        <v>0.1</v>
      </c>
      <c r="AU182" s="26">
        <v>0.115</v>
      </c>
      <c r="AX182" s="26">
        <v>0</v>
      </c>
      <c r="BA182" s="26">
        <v>0.01</v>
      </c>
    </row>
    <row r="183" spans="1:53" s="28" customFormat="1" ht="21" x14ac:dyDescent="0.35">
      <c r="A183" s="1"/>
      <c r="B183" s="2"/>
      <c r="C183" s="2"/>
      <c r="D183" s="2"/>
      <c r="E183" s="2"/>
      <c r="F183" s="2"/>
      <c r="G183" s="2"/>
      <c r="H183" s="2"/>
      <c r="I183" s="40">
        <v>10620</v>
      </c>
      <c r="J183" s="26">
        <v>0.74862727250000005</v>
      </c>
      <c r="K183" s="26">
        <v>0.42</v>
      </c>
      <c r="N183" s="26">
        <v>0.55000000000000004</v>
      </c>
      <c r="Q183" s="26">
        <v>0.31</v>
      </c>
      <c r="T183" s="26">
        <v>0.3</v>
      </c>
      <c r="W183" s="26">
        <v>0.01</v>
      </c>
      <c r="Z183" s="26">
        <v>0.01</v>
      </c>
      <c r="AC183" s="26">
        <v>0.46</v>
      </c>
      <c r="AF183" s="26">
        <v>0.24</v>
      </c>
      <c r="AI183" s="26">
        <v>0.21</v>
      </c>
      <c r="AL183" s="26">
        <v>0.34499999999999997</v>
      </c>
      <c r="AO183" s="26">
        <v>0.09</v>
      </c>
      <c r="AR183" s="26">
        <v>0.105</v>
      </c>
      <c r="AU183" s="26">
        <v>0.125</v>
      </c>
      <c r="AX183" s="26">
        <v>0</v>
      </c>
      <c r="BA183" s="26">
        <v>0.01</v>
      </c>
    </row>
    <row r="184" spans="1:53" s="28" customFormat="1" ht="21" x14ac:dyDescent="0.35">
      <c r="A184" s="1"/>
      <c r="B184" s="2"/>
      <c r="C184" s="2"/>
      <c r="D184" s="2"/>
      <c r="E184" s="2"/>
      <c r="F184" s="2"/>
      <c r="G184" s="2"/>
      <c r="H184" s="2"/>
      <c r="I184" s="40">
        <v>10680</v>
      </c>
      <c r="J184" s="26">
        <v>0.74417575749999998</v>
      </c>
      <c r="K184" s="26">
        <v>0.42499999999999999</v>
      </c>
      <c r="N184" s="26">
        <v>0.55500000000000005</v>
      </c>
      <c r="Q184" s="26">
        <v>0.315</v>
      </c>
      <c r="T184" s="26">
        <v>0.31</v>
      </c>
      <c r="W184" s="26">
        <v>0.01</v>
      </c>
      <c r="Z184" s="26">
        <v>0.01</v>
      </c>
      <c r="AC184" s="26">
        <v>0.46500000000000002</v>
      </c>
      <c r="AF184" s="26">
        <v>0.24</v>
      </c>
      <c r="AI184" s="26">
        <v>0.215</v>
      </c>
      <c r="AL184" s="26">
        <v>0.35</v>
      </c>
      <c r="AO184" s="26">
        <v>0.1</v>
      </c>
      <c r="AR184" s="26">
        <v>0.11</v>
      </c>
      <c r="AU184" s="26">
        <v>0.13</v>
      </c>
      <c r="AX184" s="26">
        <v>0.01</v>
      </c>
      <c r="BA184" s="26">
        <v>0.01</v>
      </c>
    </row>
    <row r="185" spans="1:53" s="28" customFormat="1" ht="21" x14ac:dyDescent="0.35">
      <c r="A185" s="1"/>
      <c r="B185" s="2"/>
      <c r="C185" s="2"/>
      <c r="D185" s="2"/>
      <c r="E185" s="2"/>
      <c r="F185" s="2"/>
      <c r="G185" s="2"/>
      <c r="H185" s="2"/>
      <c r="I185" s="40">
        <v>10740</v>
      </c>
      <c r="J185" s="26">
        <v>0.79568484849999999</v>
      </c>
      <c r="K185" s="26">
        <v>0.435</v>
      </c>
      <c r="N185" s="26">
        <v>0.56499999999999995</v>
      </c>
      <c r="Q185" s="26">
        <v>0.32500000000000001</v>
      </c>
      <c r="T185" s="26">
        <v>0.32500000000000001</v>
      </c>
      <c r="W185" s="26">
        <v>0.01</v>
      </c>
      <c r="Z185" s="26">
        <v>0.01</v>
      </c>
      <c r="AC185" s="26">
        <v>0.47499999999999998</v>
      </c>
      <c r="AF185" s="26">
        <v>0.25</v>
      </c>
      <c r="AI185" s="26">
        <v>0.22500000000000001</v>
      </c>
      <c r="AL185" s="26">
        <v>0.36499999999999999</v>
      </c>
      <c r="AO185" s="26">
        <v>0.11</v>
      </c>
      <c r="AR185" s="26">
        <v>0.12</v>
      </c>
      <c r="AU185" s="26">
        <v>0.14499999999999999</v>
      </c>
      <c r="AX185" s="26">
        <v>0.01</v>
      </c>
      <c r="BA185" s="26">
        <v>0.01</v>
      </c>
    </row>
    <row r="186" spans="1:53" s="28" customFormat="1" ht="21" x14ac:dyDescent="0.35">
      <c r="A186" s="1"/>
      <c r="B186" s="2"/>
      <c r="C186" s="2"/>
      <c r="D186" s="2"/>
      <c r="E186" s="2"/>
      <c r="F186" s="2"/>
      <c r="G186" s="2"/>
      <c r="H186" s="2"/>
      <c r="I186" s="40">
        <v>10800</v>
      </c>
      <c r="J186" s="26">
        <v>0.887736364</v>
      </c>
      <c r="K186" s="26">
        <v>0.44500000000000001</v>
      </c>
      <c r="N186" s="26">
        <v>0.59</v>
      </c>
      <c r="Q186" s="26">
        <v>0.34499999999999997</v>
      </c>
      <c r="T186" s="26">
        <v>0.34499999999999997</v>
      </c>
      <c r="W186" s="26">
        <v>0.01</v>
      </c>
      <c r="Z186" s="26">
        <v>0.01</v>
      </c>
      <c r="AC186" s="26">
        <v>0.495</v>
      </c>
      <c r="AF186" s="26">
        <v>0.26500000000000001</v>
      </c>
      <c r="AI186" s="26">
        <v>0.245</v>
      </c>
      <c r="AL186" s="26">
        <v>0.38500000000000001</v>
      </c>
      <c r="AO186" s="26">
        <v>0.125</v>
      </c>
      <c r="AR186" s="26">
        <v>0.14000000000000001</v>
      </c>
      <c r="AU186" s="26">
        <v>0.17</v>
      </c>
      <c r="AX186" s="26">
        <v>0.01</v>
      </c>
      <c r="BA186" s="26">
        <v>0.01</v>
      </c>
    </row>
    <row r="187" spans="1:53" s="28" customFormat="1" ht="21" x14ac:dyDescent="0.35">
      <c r="A187" s="1"/>
      <c r="B187" s="2"/>
      <c r="C187" s="2"/>
      <c r="D187" s="2"/>
      <c r="E187" s="2"/>
      <c r="F187" s="2"/>
      <c r="G187" s="2"/>
      <c r="H187" s="2"/>
      <c r="I187" s="40">
        <v>10860</v>
      </c>
      <c r="J187" s="26">
        <v>0.99106363600000003</v>
      </c>
      <c r="K187" s="26">
        <v>0.45500000000000002</v>
      </c>
      <c r="N187" s="26">
        <v>0.61499999999999999</v>
      </c>
      <c r="Q187" s="26">
        <v>0.36499999999999999</v>
      </c>
      <c r="T187" s="26">
        <v>0.375</v>
      </c>
      <c r="W187" s="26">
        <v>0.01</v>
      </c>
      <c r="Z187" s="26">
        <v>2.5000000000000001E-2</v>
      </c>
      <c r="AC187" s="26">
        <v>0.51500000000000001</v>
      </c>
      <c r="AF187" s="26">
        <v>0.28499999999999998</v>
      </c>
      <c r="AI187" s="26">
        <v>0.26500000000000001</v>
      </c>
      <c r="AL187" s="26">
        <v>0.41499999999999998</v>
      </c>
      <c r="AO187" s="26">
        <v>0.155</v>
      </c>
      <c r="AR187" s="26">
        <v>0.17</v>
      </c>
      <c r="AU187" s="26">
        <v>0.2</v>
      </c>
      <c r="AX187" s="26">
        <v>0.01</v>
      </c>
      <c r="BA187" s="26">
        <v>1.4999999999999999E-2</v>
      </c>
    </row>
    <row r="188" spans="1:53" s="28" customFormat="1" ht="21" x14ac:dyDescent="0.35">
      <c r="A188" s="1"/>
      <c r="B188" s="2"/>
      <c r="C188" s="2"/>
      <c r="D188" s="2"/>
      <c r="E188" s="2"/>
      <c r="F188" s="2"/>
      <c r="G188" s="2"/>
      <c r="H188" s="2"/>
      <c r="I188" s="40">
        <v>10920</v>
      </c>
      <c r="J188" s="26">
        <v>1.0329090910000001</v>
      </c>
      <c r="K188" s="26">
        <v>0.46500000000000002</v>
      </c>
      <c r="N188" s="26">
        <v>0.63500000000000001</v>
      </c>
      <c r="Q188" s="26">
        <v>0.39500000000000002</v>
      </c>
      <c r="T188" s="26">
        <v>0.39500000000000002</v>
      </c>
      <c r="W188" s="26">
        <v>0.01</v>
      </c>
      <c r="Z188" s="26">
        <v>3.5000000000000003E-2</v>
      </c>
      <c r="AC188" s="26">
        <v>0.54</v>
      </c>
      <c r="AF188" s="26">
        <v>0.315</v>
      </c>
      <c r="AI188" s="26">
        <v>0.28499999999999998</v>
      </c>
      <c r="AL188" s="26">
        <v>0.44500000000000001</v>
      </c>
      <c r="AO188" s="26">
        <v>0.185</v>
      </c>
      <c r="AR188" s="26">
        <v>0.2</v>
      </c>
      <c r="AU188" s="26">
        <v>0.24</v>
      </c>
      <c r="AX188" s="26">
        <v>0.02</v>
      </c>
      <c r="BA188" s="26">
        <v>2.5000000000000001E-2</v>
      </c>
    </row>
    <row r="189" spans="1:53" s="28" customFormat="1" ht="21" x14ac:dyDescent="0.35">
      <c r="A189" s="1"/>
      <c r="B189" s="2"/>
      <c r="C189" s="2"/>
      <c r="D189" s="2"/>
      <c r="E189" s="2"/>
      <c r="F189" s="2"/>
      <c r="G189" s="2"/>
      <c r="H189" s="2"/>
      <c r="I189" s="40">
        <v>10980</v>
      </c>
      <c r="J189" s="26">
        <v>1.035260606</v>
      </c>
      <c r="K189" s="26">
        <v>0.47</v>
      </c>
      <c r="N189" s="26">
        <v>0.65500000000000003</v>
      </c>
      <c r="Q189" s="26">
        <v>0.41499999999999998</v>
      </c>
      <c r="T189" s="26">
        <v>0.41499999999999998</v>
      </c>
      <c r="W189" s="26">
        <v>0.01</v>
      </c>
      <c r="Z189" s="26">
        <v>0.06</v>
      </c>
      <c r="AC189" s="26">
        <v>0.56499999999999995</v>
      </c>
      <c r="AF189" s="26">
        <v>0.33500000000000002</v>
      </c>
      <c r="AI189" s="26">
        <v>0.315</v>
      </c>
      <c r="AL189" s="26">
        <v>0.48</v>
      </c>
      <c r="AO189" s="26">
        <v>0.22</v>
      </c>
      <c r="AR189" s="26">
        <v>0.23499999999999999</v>
      </c>
      <c r="AU189" s="26">
        <v>0.28000000000000003</v>
      </c>
      <c r="AX189" s="26">
        <v>3.5000000000000003E-2</v>
      </c>
      <c r="BA189" s="26">
        <v>4.4999999999999998E-2</v>
      </c>
    </row>
    <row r="190" spans="1:53" s="28" customFormat="1" ht="21" x14ac:dyDescent="0.35">
      <c r="A190" s="1"/>
      <c r="B190" s="2"/>
      <c r="C190" s="2"/>
      <c r="D190" s="2"/>
      <c r="E190" s="2"/>
      <c r="F190" s="2"/>
      <c r="G190" s="2"/>
      <c r="H190" s="2"/>
      <c r="I190" s="40">
        <v>11040</v>
      </c>
      <c r="J190" s="26">
        <v>1.0235727274999999</v>
      </c>
      <c r="K190" s="26">
        <v>0.47499999999999998</v>
      </c>
      <c r="N190" s="26">
        <v>0.66</v>
      </c>
      <c r="Q190" s="26">
        <v>0.42499999999999999</v>
      </c>
      <c r="T190" s="26">
        <v>0.43</v>
      </c>
      <c r="W190" s="26">
        <v>0.01</v>
      </c>
      <c r="Z190" s="26">
        <v>8.5000000000000006E-2</v>
      </c>
      <c r="AC190" s="26">
        <v>0.57499999999999996</v>
      </c>
      <c r="AF190" s="26">
        <v>0.35499999999999998</v>
      </c>
      <c r="AI190" s="26">
        <v>0.33500000000000002</v>
      </c>
      <c r="AL190" s="26">
        <v>0.505</v>
      </c>
      <c r="AO190" s="26">
        <v>0.25</v>
      </c>
      <c r="AR190" s="26">
        <v>0.26500000000000001</v>
      </c>
      <c r="AU190" s="26">
        <v>0.31</v>
      </c>
      <c r="AX190" s="26">
        <v>5.5E-2</v>
      </c>
      <c r="BA190" s="26">
        <v>7.0000000000000007E-2</v>
      </c>
    </row>
    <row r="191" spans="1:53" s="28" customFormat="1" ht="21" x14ac:dyDescent="0.35">
      <c r="A191" s="1"/>
      <c r="B191" s="2"/>
      <c r="C191" s="2"/>
      <c r="D191" s="2"/>
      <c r="E191" s="2"/>
      <c r="F191" s="2"/>
      <c r="G191" s="2"/>
      <c r="H191" s="2"/>
      <c r="I191" s="40">
        <v>11100</v>
      </c>
      <c r="J191" s="26">
        <v>1.0066878785</v>
      </c>
      <c r="K191" s="26">
        <v>0.48</v>
      </c>
      <c r="N191" s="26">
        <v>0.67</v>
      </c>
      <c r="Q191" s="26">
        <v>0.43</v>
      </c>
      <c r="T191" s="26">
        <v>0.43</v>
      </c>
      <c r="W191" s="26">
        <v>0.01</v>
      </c>
      <c r="Z191" s="26">
        <v>0.1</v>
      </c>
      <c r="AC191" s="26">
        <v>0.59</v>
      </c>
      <c r="AF191" s="26">
        <v>0.37</v>
      </c>
      <c r="AI191" s="26">
        <v>0.34499999999999997</v>
      </c>
      <c r="AL191" s="26">
        <v>0.52500000000000002</v>
      </c>
      <c r="AO191" s="26">
        <v>0.27500000000000002</v>
      </c>
      <c r="AR191" s="26">
        <v>0.29499999999999998</v>
      </c>
      <c r="AU191" s="26">
        <v>0.34499999999999997</v>
      </c>
      <c r="AX191" s="26">
        <v>7.4999999999999997E-2</v>
      </c>
      <c r="BA191" s="26">
        <v>0.1</v>
      </c>
    </row>
    <row r="192" spans="1:53" s="28" customFormat="1" ht="21" x14ac:dyDescent="0.35">
      <c r="A192" s="1"/>
      <c r="B192" s="2"/>
      <c r="C192" s="2"/>
      <c r="D192" s="2"/>
      <c r="E192" s="2"/>
      <c r="F192" s="2"/>
      <c r="G192" s="2"/>
      <c r="H192" s="2"/>
      <c r="I192" s="40">
        <v>11160</v>
      </c>
      <c r="J192" s="26">
        <v>0.99101515200000001</v>
      </c>
      <c r="K192" s="26">
        <v>0.48</v>
      </c>
      <c r="N192" s="26">
        <v>0.67</v>
      </c>
      <c r="Q192" s="26">
        <v>0.44</v>
      </c>
      <c r="T192" s="26">
        <v>0.44</v>
      </c>
      <c r="W192" s="26">
        <v>0.01</v>
      </c>
      <c r="Z192" s="26">
        <v>0.11</v>
      </c>
      <c r="AC192" s="26">
        <v>0.6</v>
      </c>
      <c r="AF192" s="26">
        <v>0.38</v>
      </c>
      <c r="AI192" s="26">
        <v>0.35499999999999998</v>
      </c>
      <c r="AL192" s="26">
        <v>0.54500000000000004</v>
      </c>
      <c r="AO192" s="26">
        <v>0.29499999999999998</v>
      </c>
      <c r="AR192" s="26">
        <v>0.31</v>
      </c>
      <c r="AU192" s="26">
        <v>0.37</v>
      </c>
      <c r="AX192" s="26">
        <v>9.5000000000000001E-2</v>
      </c>
      <c r="BA192" s="26">
        <v>0.125</v>
      </c>
    </row>
    <row r="193" spans="1:53" s="28" customFormat="1" ht="21" x14ac:dyDescent="0.35">
      <c r="A193" s="1"/>
      <c r="B193" s="2"/>
      <c r="C193" s="2"/>
      <c r="D193" s="2"/>
      <c r="E193" s="2"/>
      <c r="F193" s="2"/>
      <c r="G193" s="2"/>
      <c r="H193" s="2"/>
      <c r="I193" s="40">
        <v>11220</v>
      </c>
      <c r="J193" s="26">
        <v>0.97756969699999996</v>
      </c>
      <c r="K193" s="26">
        <v>0.48</v>
      </c>
      <c r="N193" s="26">
        <v>0.67</v>
      </c>
      <c r="Q193" s="26">
        <v>0.44</v>
      </c>
      <c r="T193" s="26">
        <v>0.44</v>
      </c>
      <c r="W193" s="26">
        <v>5.0000000000000001E-3</v>
      </c>
      <c r="Z193" s="26">
        <v>0.11</v>
      </c>
      <c r="AC193" s="26">
        <v>0.60499999999999998</v>
      </c>
      <c r="AF193" s="26">
        <v>0.39</v>
      </c>
      <c r="AI193" s="26">
        <v>0.36</v>
      </c>
      <c r="AL193" s="26">
        <v>0.56499999999999995</v>
      </c>
      <c r="AO193" s="26">
        <v>0.315</v>
      </c>
      <c r="AR193" s="26">
        <v>0.32500000000000001</v>
      </c>
      <c r="AU193" s="26">
        <v>0.39500000000000002</v>
      </c>
      <c r="AX193" s="26">
        <v>0.105</v>
      </c>
      <c r="BA193" s="26">
        <v>0.14499999999999999</v>
      </c>
    </row>
    <row r="194" spans="1:53" s="28" customFormat="1" ht="21" x14ac:dyDescent="0.35">
      <c r="A194" s="1"/>
      <c r="B194" s="2"/>
      <c r="C194" s="2"/>
      <c r="D194" s="2"/>
      <c r="E194" s="2"/>
      <c r="F194" s="2"/>
      <c r="G194" s="2"/>
      <c r="H194" s="2"/>
      <c r="I194" s="40">
        <v>11280</v>
      </c>
      <c r="J194" s="26">
        <v>0.96331212099999997</v>
      </c>
      <c r="K194" s="26">
        <v>0.48</v>
      </c>
      <c r="N194" s="26">
        <v>0.67</v>
      </c>
      <c r="Q194" s="26">
        <v>0.44500000000000001</v>
      </c>
      <c r="T194" s="26">
        <v>0.44</v>
      </c>
      <c r="W194" s="26">
        <v>0</v>
      </c>
      <c r="Z194" s="26">
        <v>0.105</v>
      </c>
      <c r="AC194" s="26">
        <v>0.61</v>
      </c>
      <c r="AF194" s="26">
        <v>0.39500000000000002</v>
      </c>
      <c r="AI194" s="26">
        <v>0.37</v>
      </c>
      <c r="AL194" s="26">
        <v>0.57999999999999996</v>
      </c>
      <c r="AO194" s="26">
        <v>0.33</v>
      </c>
      <c r="AR194" s="26">
        <v>0.34</v>
      </c>
      <c r="AU194" s="26">
        <v>0.41499999999999998</v>
      </c>
      <c r="AX194" s="26">
        <v>0.11</v>
      </c>
      <c r="BA194" s="26">
        <v>0.16</v>
      </c>
    </row>
    <row r="195" spans="1:53" s="28" customFormat="1" ht="21" x14ac:dyDescent="0.35">
      <c r="A195" s="1"/>
      <c r="B195" s="2"/>
      <c r="C195" s="2"/>
      <c r="D195" s="2"/>
      <c r="E195" s="2"/>
      <c r="F195" s="2"/>
      <c r="G195" s="2"/>
      <c r="H195" s="2"/>
      <c r="I195" s="40">
        <v>11340</v>
      </c>
      <c r="J195" s="26">
        <v>0.95093333349999998</v>
      </c>
      <c r="K195" s="26">
        <v>0.48</v>
      </c>
      <c r="N195" s="26">
        <v>0.68</v>
      </c>
      <c r="Q195" s="26">
        <v>0.45</v>
      </c>
      <c r="T195" s="26">
        <v>0.44</v>
      </c>
      <c r="W195" s="26">
        <v>0</v>
      </c>
      <c r="Z195" s="26">
        <v>0.1</v>
      </c>
      <c r="AC195" s="26">
        <v>0.62</v>
      </c>
      <c r="AF195" s="26">
        <v>0.4</v>
      </c>
      <c r="AI195" s="26">
        <v>0.37</v>
      </c>
      <c r="AL195" s="26">
        <v>0.59499999999999997</v>
      </c>
      <c r="AO195" s="26">
        <v>0.34</v>
      </c>
      <c r="AR195" s="26">
        <v>0.35</v>
      </c>
      <c r="AU195" s="26">
        <v>0.43</v>
      </c>
      <c r="AX195" s="26">
        <v>0.11</v>
      </c>
      <c r="BA195" s="26">
        <v>0.17</v>
      </c>
    </row>
    <row r="196" spans="1:53" s="28" customFormat="1" ht="21" x14ac:dyDescent="0.35">
      <c r="A196" s="1"/>
      <c r="B196" s="2"/>
      <c r="C196" s="2"/>
      <c r="D196" s="2"/>
      <c r="E196" s="2"/>
      <c r="F196" s="2"/>
      <c r="G196" s="2"/>
      <c r="H196" s="2"/>
      <c r="I196" s="40">
        <v>11400</v>
      </c>
      <c r="J196" s="26">
        <v>0.93782121200000002</v>
      </c>
      <c r="K196" s="26">
        <v>0.48</v>
      </c>
      <c r="N196" s="26">
        <v>0.68</v>
      </c>
      <c r="Q196" s="26">
        <v>0.45</v>
      </c>
      <c r="T196" s="26">
        <v>0.44</v>
      </c>
      <c r="W196" s="26">
        <v>0</v>
      </c>
      <c r="Z196" s="26">
        <v>0.09</v>
      </c>
      <c r="AC196" s="26">
        <v>0.62</v>
      </c>
      <c r="AF196" s="26">
        <v>0.41</v>
      </c>
      <c r="AI196" s="26">
        <v>0.38</v>
      </c>
      <c r="AL196" s="26">
        <v>0.60499999999999998</v>
      </c>
      <c r="AO196" s="26">
        <v>0.35499999999999998</v>
      </c>
      <c r="AR196" s="26">
        <v>0.36</v>
      </c>
      <c r="AU196" s="26">
        <v>0.44500000000000001</v>
      </c>
      <c r="AX196" s="26">
        <v>0.1</v>
      </c>
      <c r="BA196" s="26">
        <v>0.17</v>
      </c>
    </row>
    <row r="197" spans="1:53" s="28" customFormat="1" ht="21" x14ac:dyDescent="0.35">
      <c r="A197" s="1"/>
      <c r="B197" s="2"/>
      <c r="C197" s="2"/>
      <c r="D197" s="2"/>
      <c r="E197" s="2"/>
      <c r="F197" s="2"/>
      <c r="G197" s="2"/>
      <c r="H197" s="2"/>
      <c r="I197" s="40">
        <v>11460</v>
      </c>
      <c r="J197" s="26">
        <v>0.92637272749999999</v>
      </c>
      <c r="K197" s="26">
        <v>0.48</v>
      </c>
      <c r="N197" s="26">
        <v>0.68</v>
      </c>
      <c r="Q197" s="26">
        <v>0.45</v>
      </c>
      <c r="T197" s="26">
        <v>0.44</v>
      </c>
      <c r="W197" s="26">
        <v>0</v>
      </c>
      <c r="Z197" s="26">
        <v>8.5000000000000006E-2</v>
      </c>
      <c r="AC197" s="26">
        <v>0.625</v>
      </c>
      <c r="AF197" s="26">
        <v>0.41</v>
      </c>
      <c r="AI197" s="26">
        <v>0.38</v>
      </c>
      <c r="AL197" s="26">
        <v>0.61499999999999999</v>
      </c>
      <c r="AO197" s="26">
        <v>0.36</v>
      </c>
      <c r="AR197" s="26">
        <v>0.37</v>
      </c>
      <c r="AU197" s="26">
        <v>0.45500000000000002</v>
      </c>
      <c r="AX197" s="26">
        <v>0.1</v>
      </c>
      <c r="BA197" s="26">
        <v>0.17</v>
      </c>
    </row>
    <row r="198" spans="1:53" s="28" customFormat="1" ht="21" x14ac:dyDescent="0.35">
      <c r="A198" s="1"/>
      <c r="B198" s="2"/>
      <c r="C198" s="2"/>
      <c r="D198" s="2"/>
      <c r="E198" s="2"/>
      <c r="F198" s="2"/>
      <c r="G198" s="2"/>
      <c r="H198" s="2"/>
      <c r="I198" s="40">
        <v>11520</v>
      </c>
      <c r="J198" s="26">
        <v>0.9166363635</v>
      </c>
      <c r="K198" s="26">
        <v>0.48</v>
      </c>
      <c r="N198" s="26">
        <v>0.68</v>
      </c>
      <c r="Q198" s="26">
        <v>0.45</v>
      </c>
      <c r="T198" s="26">
        <v>0.44</v>
      </c>
      <c r="W198" s="26">
        <v>0</v>
      </c>
      <c r="Z198" s="26">
        <v>0.08</v>
      </c>
      <c r="AC198" s="26">
        <v>0.63</v>
      </c>
      <c r="AF198" s="26">
        <v>0.41</v>
      </c>
      <c r="AI198" s="26">
        <v>0.38</v>
      </c>
      <c r="AL198" s="26">
        <v>0.62</v>
      </c>
      <c r="AO198" s="26">
        <v>0.37</v>
      </c>
      <c r="AR198" s="26">
        <v>0.38</v>
      </c>
      <c r="AU198" s="26">
        <v>0.46500000000000002</v>
      </c>
      <c r="AX198" s="26">
        <v>0.1</v>
      </c>
      <c r="BA198" s="26">
        <v>0.17</v>
      </c>
    </row>
    <row r="199" spans="1:53" s="28" customFormat="1" ht="21" x14ac:dyDescent="0.35">
      <c r="A199" s="1"/>
      <c r="B199" s="2"/>
      <c r="C199" s="2"/>
      <c r="D199" s="2"/>
      <c r="E199" s="2"/>
      <c r="F199" s="2"/>
      <c r="G199" s="2"/>
      <c r="H199" s="2"/>
      <c r="I199" s="40">
        <v>11580</v>
      </c>
      <c r="J199" s="26">
        <v>0.90599393949999996</v>
      </c>
      <c r="K199" s="26">
        <v>0.48</v>
      </c>
      <c r="N199" s="26">
        <v>0.68</v>
      </c>
      <c r="Q199" s="26">
        <v>0.45</v>
      </c>
      <c r="T199" s="26">
        <v>0.44</v>
      </c>
      <c r="W199" s="26">
        <v>0</v>
      </c>
      <c r="Z199" s="26">
        <v>7.0000000000000007E-2</v>
      </c>
      <c r="AC199" s="26">
        <v>0.63</v>
      </c>
      <c r="AF199" s="26">
        <v>0.41499999999999998</v>
      </c>
      <c r="AI199" s="26">
        <v>0.38</v>
      </c>
      <c r="AL199" s="26">
        <v>0.63</v>
      </c>
      <c r="AO199" s="26">
        <v>0.38</v>
      </c>
      <c r="AR199" s="26">
        <v>0.38500000000000001</v>
      </c>
      <c r="AU199" s="26">
        <v>0.47</v>
      </c>
      <c r="AX199" s="26">
        <v>0.09</v>
      </c>
      <c r="BA199" s="26">
        <v>0.17</v>
      </c>
    </row>
    <row r="200" spans="1:53" s="28" customFormat="1" ht="21" x14ac:dyDescent="0.35">
      <c r="A200" s="1"/>
      <c r="B200" s="2"/>
      <c r="C200" s="2"/>
      <c r="D200" s="2"/>
      <c r="E200" s="2"/>
      <c r="F200" s="2"/>
      <c r="G200" s="2"/>
      <c r="H200" s="2"/>
      <c r="I200" s="40">
        <v>11640</v>
      </c>
      <c r="J200" s="26">
        <v>0.896360606</v>
      </c>
      <c r="K200" s="26">
        <v>0.48</v>
      </c>
      <c r="N200" s="26">
        <v>0.68</v>
      </c>
      <c r="Q200" s="26">
        <v>0.45</v>
      </c>
      <c r="T200" s="26">
        <v>0.44</v>
      </c>
      <c r="W200" s="26">
        <v>0</v>
      </c>
      <c r="Z200" s="26">
        <v>6.5000000000000002E-2</v>
      </c>
      <c r="AC200" s="26">
        <v>0.63</v>
      </c>
      <c r="AF200" s="26">
        <v>0.42</v>
      </c>
      <c r="AI200" s="26">
        <v>0.38500000000000001</v>
      </c>
      <c r="AL200" s="26">
        <v>0.63500000000000001</v>
      </c>
      <c r="AO200" s="26">
        <v>0.38</v>
      </c>
      <c r="AR200" s="26">
        <v>0.39</v>
      </c>
      <c r="AU200" s="26">
        <v>0.47499999999999998</v>
      </c>
      <c r="AX200" s="26">
        <v>0.09</v>
      </c>
      <c r="BA200" s="26">
        <v>0.16500000000000001</v>
      </c>
    </row>
    <row r="201" spans="1:53" s="28" customFormat="1" ht="21" x14ac:dyDescent="0.35">
      <c r="A201" s="1"/>
      <c r="B201" s="2"/>
      <c r="C201" s="2"/>
      <c r="D201" s="2"/>
      <c r="E201" s="2"/>
      <c r="F201" s="2"/>
      <c r="G201" s="2"/>
      <c r="H201" s="2"/>
      <c r="I201" s="40">
        <v>11700</v>
      </c>
      <c r="J201" s="26">
        <v>0.88871818199999997</v>
      </c>
      <c r="K201" s="26">
        <v>0.48</v>
      </c>
      <c r="N201" s="26">
        <v>0.68</v>
      </c>
      <c r="Q201" s="26">
        <v>0.45</v>
      </c>
      <c r="T201" s="26">
        <v>0.44</v>
      </c>
      <c r="W201" s="26">
        <v>0</v>
      </c>
      <c r="Z201" s="26">
        <v>0.06</v>
      </c>
      <c r="AC201" s="26">
        <v>0.63500000000000001</v>
      </c>
      <c r="AF201" s="26">
        <v>0.42</v>
      </c>
      <c r="AI201" s="26">
        <v>0.39</v>
      </c>
      <c r="AL201" s="26">
        <v>0.64</v>
      </c>
      <c r="AO201" s="26">
        <v>0.39</v>
      </c>
      <c r="AR201" s="26">
        <v>0.39500000000000002</v>
      </c>
      <c r="AU201" s="26">
        <v>0.48</v>
      </c>
      <c r="AX201" s="26">
        <v>0.09</v>
      </c>
      <c r="BA201" s="26">
        <v>0.16</v>
      </c>
    </row>
    <row r="202" spans="1:53" s="28" customFormat="1" ht="21" x14ac:dyDescent="0.35">
      <c r="A202" s="1"/>
      <c r="B202" s="2"/>
      <c r="C202" s="2"/>
      <c r="D202" s="2"/>
      <c r="E202" s="2"/>
      <c r="F202" s="2"/>
      <c r="G202" s="2"/>
      <c r="H202" s="2"/>
      <c r="I202" s="40">
        <v>11760</v>
      </c>
      <c r="J202" s="26">
        <v>0.88052424200000001</v>
      </c>
      <c r="K202" s="26">
        <v>0.48</v>
      </c>
      <c r="N202" s="26">
        <v>0.68</v>
      </c>
      <c r="Q202" s="26">
        <v>0.45</v>
      </c>
      <c r="T202" s="26">
        <v>0.44</v>
      </c>
      <c r="W202" s="26">
        <v>0</v>
      </c>
      <c r="Z202" s="26">
        <v>0.06</v>
      </c>
      <c r="AC202" s="26">
        <v>0.64</v>
      </c>
      <c r="AF202" s="26">
        <v>0.42</v>
      </c>
      <c r="AI202" s="26">
        <v>0.39</v>
      </c>
      <c r="AL202" s="26">
        <v>0.64500000000000002</v>
      </c>
      <c r="AO202" s="26">
        <v>0.39</v>
      </c>
      <c r="AR202" s="26">
        <v>0.4</v>
      </c>
      <c r="AU202" s="26">
        <v>0.48</v>
      </c>
      <c r="AX202" s="26">
        <v>0.09</v>
      </c>
      <c r="BA202" s="26">
        <v>0.16</v>
      </c>
    </row>
    <row r="203" spans="1:53" s="28" customFormat="1" ht="21" x14ac:dyDescent="0.35">
      <c r="A203" s="1"/>
      <c r="B203" s="2"/>
      <c r="C203" s="2"/>
      <c r="D203" s="2"/>
      <c r="E203" s="2"/>
      <c r="F203" s="2"/>
      <c r="G203" s="2"/>
      <c r="H203" s="2"/>
      <c r="I203" s="40">
        <v>11820</v>
      </c>
      <c r="J203" s="26">
        <v>0.8725030305</v>
      </c>
      <c r="K203" s="26">
        <v>0.48</v>
      </c>
      <c r="N203" s="26">
        <v>0.68</v>
      </c>
      <c r="Q203" s="26">
        <v>0.45</v>
      </c>
      <c r="T203" s="26">
        <v>0.44</v>
      </c>
      <c r="W203" s="26">
        <v>0</v>
      </c>
      <c r="Z203" s="26">
        <v>0.05</v>
      </c>
      <c r="AC203" s="26">
        <v>0.64</v>
      </c>
      <c r="AF203" s="26">
        <v>0.42</v>
      </c>
      <c r="AI203" s="26">
        <v>0.39</v>
      </c>
      <c r="AL203" s="26">
        <v>0.65</v>
      </c>
      <c r="AO203" s="26">
        <v>0.4</v>
      </c>
      <c r="AR203" s="26">
        <v>0.4</v>
      </c>
      <c r="AU203" s="26">
        <v>0.48</v>
      </c>
      <c r="AX203" s="26">
        <v>0.09</v>
      </c>
      <c r="BA203" s="26">
        <v>0.16</v>
      </c>
    </row>
    <row r="204" spans="1:53" s="28" customFormat="1" ht="21" x14ac:dyDescent="0.35">
      <c r="A204" s="1"/>
      <c r="B204" s="2"/>
      <c r="C204" s="2"/>
      <c r="D204" s="2"/>
      <c r="E204" s="2"/>
      <c r="F204" s="2"/>
      <c r="G204" s="2"/>
      <c r="H204" s="2"/>
      <c r="I204" s="40">
        <v>11880</v>
      </c>
      <c r="J204" s="26">
        <v>0.86431515150000005</v>
      </c>
      <c r="K204" s="26">
        <v>0.48</v>
      </c>
      <c r="N204" s="26">
        <v>0.68</v>
      </c>
      <c r="Q204" s="26">
        <v>0.45</v>
      </c>
      <c r="T204" s="26">
        <v>0.44</v>
      </c>
      <c r="W204" s="26">
        <v>0</v>
      </c>
      <c r="Z204" s="26">
        <v>0.05</v>
      </c>
      <c r="AC204" s="26">
        <v>0.64</v>
      </c>
      <c r="AF204" s="26">
        <v>0.42</v>
      </c>
      <c r="AI204" s="26">
        <v>0.39</v>
      </c>
      <c r="AL204" s="26">
        <v>0.65</v>
      </c>
      <c r="AO204" s="26">
        <v>0.4</v>
      </c>
      <c r="AR204" s="26">
        <v>0.40500000000000003</v>
      </c>
      <c r="AU204" s="26">
        <v>0.48</v>
      </c>
      <c r="AX204" s="26">
        <v>0.09</v>
      </c>
      <c r="BA204" s="26">
        <v>0.15</v>
      </c>
    </row>
    <row r="205" spans="1:53" s="28" customFormat="1" ht="21" x14ac:dyDescent="0.35">
      <c r="A205" s="1"/>
      <c r="B205" s="2"/>
      <c r="C205" s="2"/>
      <c r="D205" s="2"/>
      <c r="E205" s="2"/>
      <c r="F205" s="2"/>
      <c r="G205" s="2"/>
      <c r="H205" s="2"/>
      <c r="I205" s="40">
        <v>11940</v>
      </c>
      <c r="J205" s="26">
        <v>0.857066667</v>
      </c>
      <c r="K205" s="26">
        <v>0.48</v>
      </c>
      <c r="N205" s="26">
        <v>0.67500000000000004</v>
      </c>
      <c r="Q205" s="26">
        <v>0.45</v>
      </c>
      <c r="T205" s="26">
        <v>0.43</v>
      </c>
      <c r="W205" s="26">
        <v>0</v>
      </c>
      <c r="Z205" s="26">
        <v>4.4999999999999998E-2</v>
      </c>
      <c r="AC205" s="26">
        <v>0.64</v>
      </c>
      <c r="AF205" s="26">
        <v>0.42</v>
      </c>
      <c r="AI205" s="26">
        <v>0.39</v>
      </c>
      <c r="AL205" s="26">
        <v>0.65</v>
      </c>
      <c r="AO205" s="26">
        <v>0.4</v>
      </c>
      <c r="AR205" s="26">
        <v>0.41</v>
      </c>
      <c r="AU205" s="26">
        <v>0.48</v>
      </c>
      <c r="AX205" s="26">
        <v>8.5000000000000006E-2</v>
      </c>
      <c r="BA205" s="26">
        <v>0.14499999999999999</v>
      </c>
    </row>
    <row r="206" spans="1:53" s="28" customFormat="1" ht="21" x14ac:dyDescent="0.35">
      <c r="A206" s="1"/>
      <c r="B206" s="2"/>
      <c r="C206" s="2"/>
      <c r="D206" s="2"/>
      <c r="E206" s="2"/>
      <c r="F206" s="2"/>
      <c r="G206" s="2"/>
      <c r="H206" s="2"/>
      <c r="I206" s="40">
        <v>12000</v>
      </c>
      <c r="J206" s="26">
        <v>0.84999393899999998</v>
      </c>
      <c r="K206" s="26">
        <v>0.48</v>
      </c>
      <c r="N206" s="26">
        <v>0.67</v>
      </c>
      <c r="Q206" s="26">
        <v>0.44500000000000001</v>
      </c>
      <c r="T206" s="26">
        <v>0.43</v>
      </c>
      <c r="W206" s="26">
        <v>0</v>
      </c>
      <c r="Z206" s="26">
        <v>0.04</v>
      </c>
      <c r="AC206" s="26">
        <v>0.64</v>
      </c>
      <c r="AF206" s="26">
        <v>0.42</v>
      </c>
      <c r="AI206" s="26">
        <v>0.39</v>
      </c>
      <c r="AL206" s="26">
        <v>0.65</v>
      </c>
      <c r="AO206" s="26">
        <v>0.4</v>
      </c>
      <c r="AR206" s="26">
        <v>0.41</v>
      </c>
      <c r="AU206" s="26">
        <v>0.48</v>
      </c>
      <c r="AX206" s="26">
        <v>7.4999999999999997E-2</v>
      </c>
      <c r="BA206" s="26">
        <v>0.14000000000000001</v>
      </c>
    </row>
    <row r="207" spans="1:53" s="28" customFormat="1" ht="21" x14ac:dyDescent="0.35">
      <c r="A207" s="1"/>
      <c r="B207" s="2"/>
      <c r="C207" s="2"/>
      <c r="D207" s="2"/>
      <c r="E207" s="2"/>
      <c r="F207" s="2"/>
      <c r="G207" s="2"/>
      <c r="H207" s="2"/>
      <c r="I207" s="40">
        <v>12060</v>
      </c>
      <c r="J207" s="26">
        <v>0.84285454550000005</v>
      </c>
      <c r="K207" s="26">
        <v>0.48</v>
      </c>
      <c r="N207" s="26">
        <v>0.67</v>
      </c>
      <c r="Q207" s="26">
        <v>0.44</v>
      </c>
      <c r="T207" s="26">
        <v>0.43</v>
      </c>
      <c r="W207" s="26">
        <v>0</v>
      </c>
      <c r="Z207" s="26">
        <v>0.03</v>
      </c>
      <c r="AC207" s="26">
        <v>0.64</v>
      </c>
      <c r="AF207" s="26">
        <v>0.42</v>
      </c>
      <c r="AI207" s="26">
        <v>0.39</v>
      </c>
      <c r="AL207" s="26">
        <v>0.65</v>
      </c>
      <c r="AO207" s="26">
        <v>0.4</v>
      </c>
      <c r="AR207" s="26">
        <v>0.41</v>
      </c>
      <c r="AU207" s="26">
        <v>0.47</v>
      </c>
      <c r="AX207" s="26">
        <v>6.5000000000000002E-2</v>
      </c>
      <c r="BA207" s="26">
        <v>0.13</v>
      </c>
    </row>
    <row r="208" spans="1:53" s="28" customFormat="1" ht="21" x14ac:dyDescent="0.35">
      <c r="A208" s="1"/>
      <c r="B208" s="2"/>
      <c r="C208" s="2"/>
      <c r="D208" s="2"/>
      <c r="E208" s="2"/>
      <c r="F208" s="2"/>
      <c r="G208" s="2"/>
      <c r="H208" s="2"/>
      <c r="I208" s="40">
        <v>12120</v>
      </c>
      <c r="J208" s="26">
        <v>0.83689999999999998</v>
      </c>
      <c r="K208" s="26">
        <v>0.47499999999999998</v>
      </c>
      <c r="N208" s="26">
        <v>0.67</v>
      </c>
      <c r="Q208" s="26">
        <v>0.44</v>
      </c>
      <c r="T208" s="26">
        <v>0.43</v>
      </c>
      <c r="W208" s="26">
        <v>0</v>
      </c>
      <c r="Z208" s="26">
        <v>2.5000000000000001E-2</v>
      </c>
      <c r="AC208" s="26">
        <v>0.64</v>
      </c>
      <c r="AF208" s="26">
        <v>0.42</v>
      </c>
      <c r="AI208" s="26">
        <v>0.39</v>
      </c>
      <c r="AL208" s="26">
        <v>0.65</v>
      </c>
      <c r="AO208" s="26">
        <v>0.4</v>
      </c>
      <c r="AR208" s="26">
        <v>0.41</v>
      </c>
      <c r="AU208" s="26">
        <v>0.47</v>
      </c>
      <c r="AX208" s="26">
        <v>4.4999999999999998E-2</v>
      </c>
      <c r="BA208" s="26">
        <v>0.12</v>
      </c>
    </row>
    <row r="209" spans="1:53" s="28" customFormat="1" ht="21" x14ac:dyDescent="0.35">
      <c r="A209" s="1"/>
      <c r="B209" s="2"/>
      <c r="C209" s="2"/>
      <c r="D209" s="2"/>
      <c r="E209" s="2"/>
      <c r="F209" s="2"/>
      <c r="G209" s="2"/>
      <c r="H209" s="2"/>
      <c r="I209" s="40">
        <v>12180</v>
      </c>
      <c r="J209" s="26">
        <v>0.83073636399999995</v>
      </c>
      <c r="K209" s="26">
        <v>0.47</v>
      </c>
      <c r="N209" s="26">
        <v>0.67</v>
      </c>
      <c r="Q209" s="26">
        <v>0.44</v>
      </c>
      <c r="T209" s="26">
        <v>0.43</v>
      </c>
      <c r="W209" s="26">
        <v>0</v>
      </c>
      <c r="Z209" s="26">
        <v>1.4999999999999999E-2</v>
      </c>
      <c r="AC209" s="26">
        <v>0.64</v>
      </c>
      <c r="AF209" s="26">
        <v>0.42</v>
      </c>
      <c r="AI209" s="26">
        <v>0.38</v>
      </c>
      <c r="AL209" s="26">
        <v>0.65</v>
      </c>
      <c r="AO209" s="26">
        <v>0.4</v>
      </c>
      <c r="AR209" s="26">
        <v>0.40500000000000003</v>
      </c>
      <c r="AU209" s="26">
        <v>0.46500000000000002</v>
      </c>
      <c r="AX209" s="26">
        <v>0.03</v>
      </c>
      <c r="BA209" s="26">
        <v>0.105</v>
      </c>
    </row>
    <row r="210" spans="1:53" s="28" customFormat="1" ht="21" x14ac:dyDescent="0.35">
      <c r="A210" s="1"/>
      <c r="B210" s="2"/>
      <c r="C210" s="2"/>
      <c r="D210" s="2"/>
      <c r="E210" s="2"/>
      <c r="F210" s="2"/>
      <c r="G210" s="2"/>
      <c r="H210" s="2"/>
      <c r="I210" s="40">
        <v>12240</v>
      </c>
      <c r="J210" s="26">
        <v>0.82423939400000001</v>
      </c>
      <c r="K210" s="26">
        <v>0.47</v>
      </c>
      <c r="N210" s="26">
        <v>0.67</v>
      </c>
      <c r="Q210" s="26">
        <v>0.44</v>
      </c>
      <c r="T210" s="26">
        <v>0.42499999999999999</v>
      </c>
      <c r="W210" s="26">
        <v>0</v>
      </c>
      <c r="Z210" s="26">
        <v>0.01</v>
      </c>
      <c r="AC210" s="26">
        <v>0.63500000000000001</v>
      </c>
      <c r="AF210" s="26">
        <v>0.42</v>
      </c>
      <c r="AI210" s="26">
        <v>0.38</v>
      </c>
      <c r="AL210" s="26">
        <v>0.65</v>
      </c>
      <c r="AO210" s="26">
        <v>0.4</v>
      </c>
      <c r="AR210" s="26">
        <v>0.4</v>
      </c>
      <c r="AU210" s="26">
        <v>0.46</v>
      </c>
      <c r="AX210" s="26">
        <v>1.4999999999999999E-2</v>
      </c>
      <c r="BA210" s="26">
        <v>9.5000000000000001E-2</v>
      </c>
    </row>
    <row r="211" spans="1:53" s="28" customFormat="1" ht="21" x14ac:dyDescent="0.35">
      <c r="A211" s="1"/>
      <c r="B211" s="2"/>
      <c r="C211" s="2"/>
      <c r="D211" s="2"/>
      <c r="E211" s="2"/>
      <c r="F211" s="2"/>
      <c r="G211" s="2"/>
      <c r="H211" s="2"/>
      <c r="I211" s="40">
        <v>12300</v>
      </c>
      <c r="J211" s="26">
        <v>0.81888484849999998</v>
      </c>
      <c r="K211" s="26">
        <v>0.47</v>
      </c>
      <c r="N211" s="26">
        <v>0.66500000000000004</v>
      </c>
      <c r="Q211" s="26">
        <v>0.44</v>
      </c>
      <c r="T211" s="26">
        <v>0.42</v>
      </c>
      <c r="W211" s="26">
        <v>0</v>
      </c>
      <c r="Z211" s="26">
        <v>5.0000000000000001E-3</v>
      </c>
      <c r="AC211" s="26">
        <v>0.63</v>
      </c>
      <c r="AF211" s="26">
        <v>0.42</v>
      </c>
      <c r="AI211" s="26">
        <v>0.38</v>
      </c>
      <c r="AL211" s="26">
        <v>0.64500000000000002</v>
      </c>
      <c r="AO211" s="26">
        <v>0.39</v>
      </c>
      <c r="AR211" s="26">
        <v>0.4</v>
      </c>
      <c r="AU211" s="26">
        <v>0.45500000000000002</v>
      </c>
      <c r="AX211" s="26">
        <v>0.01</v>
      </c>
      <c r="BA211" s="26">
        <v>0.08</v>
      </c>
    </row>
    <row r="212" spans="1:53" s="28" customFormat="1" ht="21" x14ac:dyDescent="0.35">
      <c r="A212" s="1"/>
      <c r="B212" s="2"/>
      <c r="C212" s="2"/>
      <c r="D212" s="2"/>
      <c r="E212" s="2"/>
      <c r="F212" s="2"/>
      <c r="G212" s="2"/>
      <c r="H212" s="2"/>
      <c r="I212" s="40">
        <v>12360</v>
      </c>
      <c r="J212" s="26">
        <v>0.81319393949999996</v>
      </c>
      <c r="K212" s="26">
        <v>0.47</v>
      </c>
      <c r="N212" s="26">
        <v>0.66</v>
      </c>
      <c r="Q212" s="26">
        <v>0.435</v>
      </c>
      <c r="T212" s="26">
        <v>0.42</v>
      </c>
      <c r="W212" s="26">
        <v>0</v>
      </c>
      <c r="Z212" s="26">
        <v>0</v>
      </c>
      <c r="AC212" s="26">
        <v>0.63</v>
      </c>
      <c r="AF212" s="26">
        <v>0.41499999999999998</v>
      </c>
      <c r="AI212" s="26">
        <v>0.38</v>
      </c>
      <c r="AL212" s="26">
        <v>0.64</v>
      </c>
      <c r="AO212" s="26">
        <v>0.39</v>
      </c>
      <c r="AR212" s="26">
        <v>0.39500000000000002</v>
      </c>
      <c r="AU212" s="26">
        <v>0.45</v>
      </c>
      <c r="AX212" s="26">
        <v>0</v>
      </c>
      <c r="BA212" s="26">
        <v>6.5000000000000002E-2</v>
      </c>
    </row>
    <row r="213" spans="1:53" s="28" customFormat="1" ht="21" x14ac:dyDescent="0.35">
      <c r="A213" s="1"/>
      <c r="B213" s="2"/>
      <c r="C213" s="2"/>
      <c r="D213" s="2"/>
      <c r="E213" s="2"/>
      <c r="F213" s="2"/>
      <c r="G213" s="2"/>
      <c r="H213" s="2"/>
      <c r="I213" s="40">
        <v>12420</v>
      </c>
      <c r="J213" s="26">
        <v>0.80797575749999995</v>
      </c>
      <c r="K213" s="26">
        <v>0.47</v>
      </c>
      <c r="N213" s="26">
        <v>0.66</v>
      </c>
      <c r="Q213" s="26">
        <v>0.43</v>
      </c>
      <c r="T213" s="26">
        <v>0.42</v>
      </c>
      <c r="W213" s="26">
        <v>0</v>
      </c>
      <c r="Z213" s="26">
        <v>0</v>
      </c>
      <c r="AC213" s="26">
        <v>0.63</v>
      </c>
      <c r="AF213" s="26">
        <v>0.41</v>
      </c>
      <c r="AI213" s="26">
        <v>0.38</v>
      </c>
      <c r="AL213" s="26">
        <v>0.64</v>
      </c>
      <c r="AO213" s="26">
        <v>0.38500000000000001</v>
      </c>
      <c r="AR213" s="26">
        <v>0.39</v>
      </c>
      <c r="AU213" s="26">
        <v>0.44</v>
      </c>
      <c r="AX213" s="26">
        <v>0</v>
      </c>
      <c r="BA213" s="26">
        <v>5.5E-2</v>
      </c>
    </row>
    <row r="214" spans="1:53" s="28" customFormat="1" ht="21" x14ac:dyDescent="0.35">
      <c r="A214" s="1"/>
      <c r="B214" s="2"/>
      <c r="C214" s="2"/>
      <c r="D214" s="2"/>
      <c r="E214" s="2"/>
      <c r="F214" s="2"/>
      <c r="G214" s="2"/>
      <c r="H214" s="2"/>
      <c r="I214" s="40">
        <v>12480</v>
      </c>
      <c r="J214" s="26">
        <v>0.80268181800000005</v>
      </c>
      <c r="K214" s="26">
        <v>0.47</v>
      </c>
      <c r="N214" s="26">
        <v>0.66</v>
      </c>
      <c r="Q214" s="26">
        <v>0.43</v>
      </c>
      <c r="T214" s="26">
        <v>0.42</v>
      </c>
      <c r="W214" s="26">
        <v>0</v>
      </c>
      <c r="Z214" s="26">
        <v>0</v>
      </c>
      <c r="AC214" s="26">
        <v>0.63</v>
      </c>
      <c r="AF214" s="26">
        <v>0.41</v>
      </c>
      <c r="AI214" s="26">
        <v>0.37</v>
      </c>
      <c r="AL214" s="26">
        <v>0.63</v>
      </c>
      <c r="AO214" s="26">
        <v>0.38</v>
      </c>
      <c r="AR214" s="26">
        <v>0.39</v>
      </c>
      <c r="AU214" s="26">
        <v>0.43</v>
      </c>
      <c r="AX214" s="26">
        <v>0</v>
      </c>
      <c r="BA214" s="26">
        <v>0.04</v>
      </c>
    </row>
    <row r="215" spans="1:53" s="28" customFormat="1" ht="21" x14ac:dyDescent="0.35">
      <c r="A215" s="1"/>
      <c r="B215" s="2"/>
      <c r="C215" s="2"/>
      <c r="D215" s="2"/>
      <c r="E215" s="2"/>
      <c r="F215" s="2"/>
      <c r="G215" s="2"/>
      <c r="H215" s="2"/>
      <c r="I215" s="40">
        <v>12540</v>
      </c>
      <c r="J215" s="26">
        <v>0.79746666700000002</v>
      </c>
      <c r="K215" s="26">
        <v>0.47</v>
      </c>
      <c r="N215" s="26">
        <v>0.66</v>
      </c>
      <c r="Q215" s="26">
        <v>0.43</v>
      </c>
      <c r="T215" s="26">
        <v>0.41499999999999998</v>
      </c>
      <c r="W215" s="26">
        <v>0</v>
      </c>
      <c r="Z215" s="26">
        <v>0</v>
      </c>
      <c r="AC215" s="26">
        <v>0.62</v>
      </c>
      <c r="AF215" s="26">
        <v>0.41</v>
      </c>
      <c r="AI215" s="26">
        <v>0.37</v>
      </c>
      <c r="AL215" s="26">
        <v>0.63</v>
      </c>
      <c r="AO215" s="26">
        <v>0.375</v>
      </c>
      <c r="AR215" s="26">
        <v>0.38</v>
      </c>
      <c r="AU215" s="26">
        <v>0.42499999999999999</v>
      </c>
      <c r="AX215" s="26">
        <v>0</v>
      </c>
      <c r="BA215" s="26">
        <v>2.5000000000000001E-2</v>
      </c>
    </row>
    <row r="216" spans="1:53" s="28" customFormat="1" ht="21" x14ac:dyDescent="0.35">
      <c r="A216" s="1"/>
      <c r="B216" s="2"/>
      <c r="C216" s="2"/>
      <c r="D216" s="2"/>
      <c r="E216" s="2"/>
      <c r="F216" s="2"/>
      <c r="G216" s="2"/>
      <c r="H216" s="2"/>
      <c r="I216" s="40">
        <v>12600</v>
      </c>
      <c r="J216" s="26">
        <v>0.79173636400000003</v>
      </c>
      <c r="K216" s="26">
        <v>0.47</v>
      </c>
      <c r="N216" s="26">
        <v>0.65500000000000003</v>
      </c>
      <c r="Q216" s="26">
        <v>0.43</v>
      </c>
      <c r="T216" s="26">
        <v>0.41</v>
      </c>
      <c r="W216" s="26">
        <v>0</v>
      </c>
      <c r="Z216" s="26">
        <v>0</v>
      </c>
      <c r="AC216" s="26">
        <v>0.62</v>
      </c>
      <c r="AF216" s="26">
        <v>0.4</v>
      </c>
      <c r="AI216" s="26">
        <v>0.37</v>
      </c>
      <c r="AL216" s="26">
        <v>0.62</v>
      </c>
      <c r="AO216" s="26">
        <v>0.37</v>
      </c>
      <c r="AR216" s="26">
        <v>0.38</v>
      </c>
      <c r="AU216" s="26">
        <v>0.41499999999999998</v>
      </c>
      <c r="AX216" s="26">
        <v>0</v>
      </c>
      <c r="BA216" s="26">
        <v>1.4999999999999999E-2</v>
      </c>
    </row>
    <row r="217" spans="1:53" s="28" customFormat="1" ht="21" x14ac:dyDescent="0.35">
      <c r="A217" s="1"/>
      <c r="B217" s="2"/>
      <c r="C217" s="2"/>
      <c r="D217" s="2"/>
      <c r="E217" s="2"/>
      <c r="F217" s="2"/>
      <c r="G217" s="2"/>
      <c r="H217" s="2"/>
      <c r="I217" s="40">
        <v>12660</v>
      </c>
      <c r="J217" s="26">
        <v>0.78731212100000003</v>
      </c>
      <c r="K217" s="26">
        <v>0.47</v>
      </c>
      <c r="N217" s="26">
        <v>0.65</v>
      </c>
      <c r="Q217" s="26">
        <v>0.42</v>
      </c>
      <c r="T217" s="26">
        <v>0.41</v>
      </c>
      <c r="W217" s="26">
        <v>0</v>
      </c>
      <c r="Z217" s="26">
        <v>0</v>
      </c>
      <c r="AC217" s="26">
        <v>0.62</v>
      </c>
      <c r="AF217" s="26">
        <v>0.4</v>
      </c>
      <c r="AI217" s="26">
        <v>0.36</v>
      </c>
      <c r="AL217" s="26">
        <v>0.62</v>
      </c>
      <c r="AO217" s="26">
        <v>0.36499999999999999</v>
      </c>
      <c r="AR217" s="26">
        <v>0.37</v>
      </c>
      <c r="AU217" s="26">
        <v>0.41</v>
      </c>
      <c r="AX217" s="26">
        <v>0</v>
      </c>
      <c r="BA217" s="26">
        <v>0.01</v>
      </c>
    </row>
    <row r="218" spans="1:53" s="28" customFormat="1" ht="21" x14ac:dyDescent="0.35">
      <c r="A218" s="1"/>
      <c r="B218" s="2"/>
      <c r="C218" s="2"/>
      <c r="D218" s="2"/>
      <c r="E218" s="2"/>
      <c r="F218" s="2"/>
      <c r="G218" s="2"/>
      <c r="H218" s="2"/>
      <c r="I218" s="40">
        <v>12720</v>
      </c>
      <c r="J218" s="26">
        <v>0.78208181799999998</v>
      </c>
      <c r="K218" s="26">
        <v>0.47</v>
      </c>
      <c r="N218" s="26">
        <v>0.65</v>
      </c>
      <c r="Q218" s="26">
        <v>0.42</v>
      </c>
      <c r="T218" s="26">
        <v>0.41</v>
      </c>
      <c r="W218" s="26">
        <v>0</v>
      </c>
      <c r="Z218" s="26">
        <v>0</v>
      </c>
      <c r="AC218" s="26">
        <v>0.61</v>
      </c>
      <c r="AF218" s="26">
        <v>0.4</v>
      </c>
      <c r="AI218" s="26">
        <v>0.36</v>
      </c>
      <c r="AL218" s="26">
        <v>0.61</v>
      </c>
      <c r="AO218" s="26">
        <v>0.36</v>
      </c>
      <c r="AR218" s="26">
        <v>0.36499999999999999</v>
      </c>
      <c r="AU218" s="26">
        <v>0.4</v>
      </c>
      <c r="AX218" s="26">
        <v>0</v>
      </c>
      <c r="BA218" s="26">
        <v>0</v>
      </c>
    </row>
    <row r="219" spans="1:53" s="28" customFormat="1" ht="21" x14ac:dyDescent="0.35">
      <c r="A219" s="1"/>
      <c r="B219" s="2"/>
      <c r="C219" s="2"/>
      <c r="D219" s="2"/>
      <c r="E219" s="2"/>
      <c r="F219" s="2"/>
      <c r="G219" s="2"/>
      <c r="H219" s="2"/>
      <c r="I219" s="40">
        <v>12780</v>
      </c>
      <c r="J219" s="26">
        <v>0.7756454545</v>
      </c>
      <c r="K219" s="26">
        <v>0.47</v>
      </c>
      <c r="N219" s="26">
        <v>0.65</v>
      </c>
      <c r="Q219" s="26">
        <v>0.42</v>
      </c>
      <c r="T219" s="26">
        <v>0.4</v>
      </c>
      <c r="W219" s="26">
        <v>0</v>
      </c>
      <c r="Z219" s="26">
        <v>0</v>
      </c>
      <c r="AC219" s="26">
        <v>0.61</v>
      </c>
      <c r="AF219" s="26">
        <v>0.39</v>
      </c>
      <c r="AI219" s="26">
        <v>0.36</v>
      </c>
      <c r="AL219" s="26">
        <v>0.60499999999999998</v>
      </c>
      <c r="AO219" s="26">
        <v>0.35</v>
      </c>
      <c r="AR219" s="26">
        <v>0.36</v>
      </c>
      <c r="AU219" s="26">
        <v>0.39</v>
      </c>
      <c r="AX219" s="26">
        <v>0</v>
      </c>
      <c r="BA219" s="26">
        <v>0</v>
      </c>
    </row>
    <row r="220" spans="1:53" s="28" customFormat="1" ht="21" x14ac:dyDescent="0.35">
      <c r="A220" s="1"/>
      <c r="B220" s="2"/>
      <c r="C220" s="2"/>
      <c r="D220" s="2"/>
      <c r="E220" s="2"/>
      <c r="F220" s="2"/>
      <c r="G220" s="2"/>
      <c r="H220" s="2"/>
      <c r="I220" s="40">
        <v>12840</v>
      </c>
      <c r="J220" s="26">
        <v>0.77051212150000004</v>
      </c>
      <c r="K220" s="26">
        <v>0.46500000000000002</v>
      </c>
      <c r="N220" s="26">
        <v>0.64500000000000002</v>
      </c>
      <c r="Q220" s="26">
        <v>0.41499999999999998</v>
      </c>
      <c r="T220" s="26">
        <v>0.4</v>
      </c>
      <c r="W220" s="26">
        <v>0</v>
      </c>
      <c r="Z220" s="26">
        <v>0</v>
      </c>
      <c r="AC220" s="26">
        <v>0.60499999999999998</v>
      </c>
      <c r="AF220" s="26">
        <v>0.39</v>
      </c>
      <c r="AI220" s="26">
        <v>0.35</v>
      </c>
      <c r="AL220" s="26">
        <v>0.6</v>
      </c>
      <c r="AO220" s="26">
        <v>0.34499999999999997</v>
      </c>
      <c r="AR220" s="26">
        <v>0.35</v>
      </c>
      <c r="AU220" s="26">
        <v>0.38</v>
      </c>
      <c r="AX220" s="26">
        <v>0</v>
      </c>
      <c r="BA220" s="26">
        <v>0</v>
      </c>
    </row>
    <row r="221" spans="1:53" s="28" customFormat="1" ht="21" x14ac:dyDescent="0.35">
      <c r="A221" s="1"/>
      <c r="B221" s="2"/>
      <c r="C221" s="2"/>
      <c r="D221" s="2"/>
      <c r="E221" s="2"/>
      <c r="F221" s="2"/>
      <c r="G221" s="2"/>
      <c r="H221" s="2"/>
      <c r="I221" s="40">
        <v>12900</v>
      </c>
      <c r="J221" s="26">
        <v>0.76488484850000005</v>
      </c>
      <c r="K221" s="26">
        <v>0.46</v>
      </c>
      <c r="N221" s="26">
        <v>0.64</v>
      </c>
      <c r="Q221" s="26">
        <v>0.41</v>
      </c>
      <c r="T221" s="26">
        <v>0.4</v>
      </c>
      <c r="W221" s="26">
        <v>0</v>
      </c>
      <c r="Z221" s="26">
        <v>0</v>
      </c>
      <c r="AC221" s="26">
        <v>0.6</v>
      </c>
      <c r="AF221" s="26">
        <v>0.38</v>
      </c>
      <c r="AI221" s="26">
        <v>0.35</v>
      </c>
      <c r="AL221" s="26">
        <v>0.59</v>
      </c>
      <c r="AO221" s="26">
        <v>0.34</v>
      </c>
      <c r="AR221" s="26">
        <v>0.34499999999999997</v>
      </c>
      <c r="AU221" s="26">
        <v>0.37</v>
      </c>
      <c r="AX221" s="26">
        <v>0</v>
      </c>
      <c r="BA221" s="26">
        <v>0</v>
      </c>
    </row>
    <row r="222" spans="1:53" s="28" customFormat="1" ht="21" x14ac:dyDescent="0.35">
      <c r="A222" s="1"/>
      <c r="B222" s="2"/>
      <c r="C222" s="2"/>
      <c r="D222" s="2"/>
      <c r="E222" s="2"/>
      <c r="F222" s="2"/>
      <c r="G222" s="2"/>
      <c r="H222" s="2"/>
      <c r="I222" s="40">
        <v>12960</v>
      </c>
      <c r="J222" s="26">
        <v>0.75919393950000003</v>
      </c>
      <c r="K222" s="26">
        <v>0.46</v>
      </c>
      <c r="N222" s="26">
        <v>0.64</v>
      </c>
      <c r="Q222" s="26">
        <v>0.41</v>
      </c>
      <c r="T222" s="26">
        <v>0.39500000000000002</v>
      </c>
      <c r="W222" s="26">
        <v>0</v>
      </c>
      <c r="Z222" s="26">
        <v>0</v>
      </c>
      <c r="AC222" s="26">
        <v>0.6</v>
      </c>
      <c r="AF222" s="26">
        <v>0.38</v>
      </c>
      <c r="AI222" s="26">
        <v>0.34</v>
      </c>
      <c r="AL222" s="26">
        <v>0.58499999999999996</v>
      </c>
      <c r="AO222" s="26">
        <v>0.33</v>
      </c>
      <c r="AR222" s="26">
        <v>0.34</v>
      </c>
      <c r="AU222" s="26">
        <v>0.35499999999999998</v>
      </c>
      <c r="AX222" s="26">
        <v>0</v>
      </c>
      <c r="BA222" s="26">
        <v>0</v>
      </c>
    </row>
    <row r="223" spans="1:53" s="28" customFormat="1" ht="21" x14ac:dyDescent="0.35">
      <c r="A223" s="1"/>
      <c r="B223" s="2"/>
      <c r="C223" s="2"/>
      <c r="D223" s="2"/>
      <c r="E223" s="2"/>
      <c r="F223" s="2"/>
      <c r="G223" s="2"/>
      <c r="H223" s="2"/>
      <c r="I223" s="40">
        <v>13020</v>
      </c>
      <c r="J223" s="26">
        <v>0.75385757600000003</v>
      </c>
      <c r="K223" s="26">
        <v>0.46</v>
      </c>
      <c r="N223" s="26">
        <v>0.63500000000000001</v>
      </c>
      <c r="Q223" s="26">
        <v>0.40500000000000003</v>
      </c>
      <c r="T223" s="26">
        <v>0.39</v>
      </c>
      <c r="W223" s="26">
        <v>0</v>
      </c>
      <c r="Z223" s="26">
        <v>0</v>
      </c>
      <c r="AC223" s="26">
        <v>0.59</v>
      </c>
      <c r="AF223" s="26">
        <v>0.375</v>
      </c>
      <c r="AI223" s="26">
        <v>0.34</v>
      </c>
      <c r="AL223" s="26">
        <v>0.57499999999999996</v>
      </c>
      <c r="AO223" s="26">
        <v>0.32</v>
      </c>
      <c r="AR223" s="26">
        <v>0.33</v>
      </c>
      <c r="AU223" s="26">
        <v>0.34499999999999997</v>
      </c>
      <c r="AX223" s="26">
        <v>0</v>
      </c>
      <c r="BA223" s="26">
        <v>0</v>
      </c>
    </row>
    <row r="224" spans="1:53" s="28" customFormat="1" ht="21" x14ac:dyDescent="0.35">
      <c r="A224" s="1"/>
      <c r="B224" s="2"/>
      <c r="C224" s="2"/>
      <c r="D224" s="2"/>
      <c r="E224" s="2"/>
      <c r="F224" s="2"/>
      <c r="G224" s="2"/>
      <c r="H224" s="2"/>
      <c r="I224" s="40">
        <v>13080</v>
      </c>
      <c r="J224" s="26">
        <v>0.74923939399999995</v>
      </c>
      <c r="K224" s="26">
        <v>0.46</v>
      </c>
      <c r="N224" s="26">
        <v>0.63</v>
      </c>
      <c r="Q224" s="26">
        <v>0.4</v>
      </c>
      <c r="T224" s="26">
        <v>0.39</v>
      </c>
      <c r="W224" s="26">
        <v>0</v>
      </c>
      <c r="Z224" s="26">
        <v>0</v>
      </c>
      <c r="AC224" s="26">
        <v>0.59</v>
      </c>
      <c r="AF224" s="26">
        <v>0.37</v>
      </c>
      <c r="AI224" s="26">
        <v>0.33500000000000002</v>
      </c>
      <c r="AL224" s="26">
        <v>0.56999999999999995</v>
      </c>
      <c r="AO224" s="26">
        <v>0.315</v>
      </c>
      <c r="AR224" s="26">
        <v>0.32</v>
      </c>
      <c r="AU224" s="26">
        <v>0.33500000000000002</v>
      </c>
      <c r="AX224" s="26">
        <v>0</v>
      </c>
      <c r="BA224" s="26">
        <v>0</v>
      </c>
    </row>
    <row r="225" spans="1:53" s="28" customFormat="1" ht="21" x14ac:dyDescent="0.35">
      <c r="A225" s="1"/>
      <c r="B225" s="2"/>
      <c r="C225" s="2"/>
      <c r="D225" s="2"/>
      <c r="E225" s="2"/>
      <c r="F225" s="2"/>
      <c r="G225" s="2"/>
      <c r="H225" s="2"/>
      <c r="I225" s="40">
        <v>13140</v>
      </c>
      <c r="J225" s="26">
        <v>0.74553030300000001</v>
      </c>
      <c r="K225" s="26">
        <v>0.46</v>
      </c>
      <c r="N225" s="26">
        <v>0.63</v>
      </c>
      <c r="Q225" s="26">
        <v>0.4</v>
      </c>
      <c r="T225" s="26">
        <v>0.39</v>
      </c>
      <c r="W225" s="26">
        <v>0</v>
      </c>
      <c r="Z225" s="26">
        <v>0</v>
      </c>
      <c r="AC225" s="26">
        <v>0.57999999999999996</v>
      </c>
      <c r="AF225" s="26">
        <v>0.36499999999999999</v>
      </c>
      <c r="AI225" s="26">
        <v>0.33</v>
      </c>
      <c r="AL225" s="26">
        <v>0.56000000000000005</v>
      </c>
      <c r="AO225" s="26">
        <v>0.30499999999999999</v>
      </c>
      <c r="AR225" s="26">
        <v>0.315</v>
      </c>
      <c r="AU225" s="26">
        <v>0.32500000000000001</v>
      </c>
      <c r="AX225" s="26">
        <v>0</v>
      </c>
      <c r="BA225" s="26">
        <v>0</v>
      </c>
    </row>
    <row r="226" spans="1:53" s="28" customFormat="1" ht="21" x14ac:dyDescent="0.35">
      <c r="A226" s="1"/>
      <c r="B226" s="2"/>
      <c r="C226" s="2"/>
      <c r="D226" s="2"/>
      <c r="E226" s="2"/>
      <c r="F226" s="2"/>
      <c r="G226" s="2"/>
      <c r="H226" s="2"/>
      <c r="I226" s="40">
        <v>13200</v>
      </c>
      <c r="J226" s="26">
        <v>0.73982121249999999</v>
      </c>
      <c r="K226" s="26">
        <v>0.46</v>
      </c>
      <c r="N226" s="26">
        <v>0.63</v>
      </c>
      <c r="Q226" s="26">
        <v>0.4</v>
      </c>
      <c r="T226" s="26">
        <v>0.38</v>
      </c>
      <c r="W226" s="26">
        <v>0</v>
      </c>
      <c r="Z226" s="26">
        <v>0</v>
      </c>
      <c r="AC226" s="26">
        <v>0.57999999999999996</v>
      </c>
      <c r="AF226" s="26">
        <v>0.36</v>
      </c>
      <c r="AI226" s="26">
        <v>0.32500000000000001</v>
      </c>
      <c r="AL226" s="26">
        <v>0.55000000000000004</v>
      </c>
      <c r="AO226" s="26">
        <v>0.29499999999999998</v>
      </c>
      <c r="AR226" s="26">
        <v>0.30499999999999999</v>
      </c>
      <c r="AU226" s="26">
        <v>0.315</v>
      </c>
      <c r="AX226" s="26">
        <v>0</v>
      </c>
      <c r="BA226" s="26">
        <v>0</v>
      </c>
    </row>
    <row r="227" spans="1:53" s="28" customFormat="1" ht="21" x14ac:dyDescent="0.35">
      <c r="A227" s="1"/>
      <c r="B227" s="2"/>
      <c r="C227" s="2"/>
      <c r="D227" s="2"/>
      <c r="E227" s="2"/>
      <c r="F227" s="2"/>
      <c r="G227" s="2"/>
      <c r="H227" s="2"/>
      <c r="I227" s="40">
        <v>13260</v>
      </c>
      <c r="J227" s="26">
        <v>0.73560000000000003</v>
      </c>
      <c r="K227" s="26">
        <v>0.46</v>
      </c>
      <c r="N227" s="26">
        <v>0.62</v>
      </c>
      <c r="Q227" s="26">
        <v>0.39</v>
      </c>
      <c r="T227" s="26">
        <v>0.38</v>
      </c>
      <c r="W227" s="26">
        <v>0</v>
      </c>
      <c r="Z227" s="26">
        <v>0</v>
      </c>
      <c r="AC227" s="26">
        <v>0.56999999999999995</v>
      </c>
      <c r="AF227" s="26">
        <v>0.35499999999999998</v>
      </c>
      <c r="AI227" s="26">
        <v>0.32</v>
      </c>
      <c r="AL227" s="26">
        <v>0.54</v>
      </c>
      <c r="AO227" s="26">
        <v>0.28999999999999998</v>
      </c>
      <c r="AR227" s="26">
        <v>0.29499999999999998</v>
      </c>
      <c r="AU227" s="26">
        <v>0.30499999999999999</v>
      </c>
      <c r="AX227" s="26">
        <v>0</v>
      </c>
      <c r="BA227" s="26">
        <v>0</v>
      </c>
    </row>
    <row r="228" spans="1:53" s="28" customFormat="1" ht="21" x14ac:dyDescent="0.35">
      <c r="A228" s="1"/>
      <c r="B228" s="2"/>
      <c r="C228" s="2"/>
      <c r="D228" s="2"/>
      <c r="E228" s="2"/>
      <c r="F228" s="2"/>
      <c r="G228" s="2"/>
      <c r="H228" s="2"/>
      <c r="I228" s="40">
        <v>13320</v>
      </c>
      <c r="J228" s="26">
        <v>0.730066667</v>
      </c>
      <c r="K228" s="26">
        <v>0.46</v>
      </c>
      <c r="N228" s="26">
        <v>0.62</v>
      </c>
      <c r="Q228" s="26">
        <v>0.39</v>
      </c>
      <c r="T228" s="26">
        <v>0.38</v>
      </c>
      <c r="W228" s="26">
        <v>0</v>
      </c>
      <c r="Z228" s="26">
        <v>0</v>
      </c>
      <c r="AC228" s="26">
        <v>0.56999999999999995</v>
      </c>
      <c r="AF228" s="26">
        <v>0.35</v>
      </c>
      <c r="AI228" s="26">
        <v>0.315</v>
      </c>
      <c r="AL228" s="26">
        <v>0.53500000000000003</v>
      </c>
      <c r="AO228" s="26">
        <v>0.28000000000000003</v>
      </c>
      <c r="AR228" s="26">
        <v>0.28999999999999998</v>
      </c>
      <c r="AU228" s="26">
        <v>0.29499999999999998</v>
      </c>
      <c r="AX228" s="26">
        <v>0</v>
      </c>
      <c r="BA228" s="26">
        <v>0</v>
      </c>
    </row>
    <row r="229" spans="1:53" s="28" customFormat="1" ht="21" x14ac:dyDescent="0.35">
      <c r="A229" s="1"/>
      <c r="B229" s="2"/>
      <c r="C229" s="2"/>
      <c r="D229" s="2"/>
      <c r="E229" s="2"/>
      <c r="F229" s="2"/>
      <c r="G229" s="2"/>
      <c r="H229" s="2"/>
      <c r="I229" s="40">
        <v>13380</v>
      </c>
      <c r="J229" s="26">
        <v>0.72450909100000005</v>
      </c>
      <c r="K229" s="26">
        <v>0.45</v>
      </c>
      <c r="N229" s="26">
        <v>0.62</v>
      </c>
      <c r="Q229" s="26">
        <v>0.39</v>
      </c>
      <c r="T229" s="26">
        <v>0.37</v>
      </c>
      <c r="W229" s="26">
        <v>0</v>
      </c>
      <c r="Z229" s="26">
        <v>0</v>
      </c>
      <c r="AC229" s="26">
        <v>0.56000000000000005</v>
      </c>
      <c r="AF229" s="26">
        <v>0.34499999999999997</v>
      </c>
      <c r="AI229" s="26">
        <v>0.31</v>
      </c>
      <c r="AL229" s="26">
        <v>0.52500000000000002</v>
      </c>
      <c r="AO229" s="26">
        <v>0.27</v>
      </c>
      <c r="AR229" s="26">
        <v>0.28000000000000003</v>
      </c>
      <c r="AU229" s="26">
        <v>0.28499999999999998</v>
      </c>
      <c r="AX229" s="26">
        <v>0</v>
      </c>
      <c r="BA229" s="26">
        <v>0</v>
      </c>
    </row>
    <row r="230" spans="1:53" s="28" customFormat="1" ht="21" x14ac:dyDescent="0.35">
      <c r="A230" s="1"/>
      <c r="B230" s="2"/>
      <c r="C230" s="2"/>
      <c r="D230" s="2"/>
      <c r="E230" s="2"/>
      <c r="F230" s="2"/>
      <c r="G230" s="2"/>
      <c r="H230" s="2"/>
      <c r="I230" s="40">
        <v>13440</v>
      </c>
      <c r="J230" s="26">
        <v>0.71976060649999996</v>
      </c>
      <c r="K230" s="26">
        <v>0.45</v>
      </c>
      <c r="N230" s="26">
        <v>0.61499999999999999</v>
      </c>
      <c r="Q230" s="26">
        <v>0.38</v>
      </c>
      <c r="T230" s="26">
        <v>0.37</v>
      </c>
      <c r="W230" s="26">
        <v>0</v>
      </c>
      <c r="Z230" s="26">
        <v>0</v>
      </c>
      <c r="AC230" s="26">
        <v>0.56000000000000005</v>
      </c>
      <c r="AF230" s="26">
        <v>0.34</v>
      </c>
      <c r="AI230" s="26">
        <v>0.30499999999999999</v>
      </c>
      <c r="AL230" s="26">
        <v>0.51500000000000001</v>
      </c>
      <c r="AO230" s="26">
        <v>0.26</v>
      </c>
      <c r="AR230" s="26">
        <v>0.27</v>
      </c>
      <c r="AU230" s="26">
        <v>0.27500000000000002</v>
      </c>
      <c r="AX230" s="26">
        <v>0</v>
      </c>
      <c r="BA230" s="26">
        <v>0</v>
      </c>
    </row>
    <row r="231" spans="1:53" s="28" customFormat="1" ht="21" x14ac:dyDescent="0.35">
      <c r="A231" s="1"/>
      <c r="B231" s="2"/>
      <c r="C231" s="2"/>
      <c r="D231" s="2"/>
      <c r="E231" s="2"/>
      <c r="F231" s="2"/>
      <c r="G231" s="2"/>
      <c r="H231" s="2"/>
      <c r="I231" s="40">
        <v>13500</v>
      </c>
      <c r="J231" s="26">
        <v>0.71478787850000003</v>
      </c>
      <c r="K231" s="26">
        <v>0.45</v>
      </c>
      <c r="N231" s="26">
        <v>0.61</v>
      </c>
      <c r="Q231" s="26">
        <v>0.38</v>
      </c>
      <c r="T231" s="26">
        <v>0.37</v>
      </c>
      <c r="W231" s="26">
        <v>0</v>
      </c>
      <c r="Z231" s="26">
        <v>0</v>
      </c>
      <c r="AC231" s="26">
        <v>0.55000000000000004</v>
      </c>
      <c r="AF231" s="26">
        <v>0.33500000000000002</v>
      </c>
      <c r="AI231" s="26">
        <v>0.3</v>
      </c>
      <c r="AL231" s="26">
        <v>0.505</v>
      </c>
      <c r="AO231" s="26">
        <v>0.25</v>
      </c>
      <c r="AR231" s="26">
        <v>0.26</v>
      </c>
      <c r="AU231" s="26">
        <v>0.26500000000000001</v>
      </c>
      <c r="AX231" s="26">
        <v>0</v>
      </c>
      <c r="BA231" s="26">
        <v>0</v>
      </c>
    </row>
    <row r="232" spans="1:53" s="28" customFormat="1" ht="21" x14ac:dyDescent="0.35">
      <c r="A232" s="1"/>
      <c r="B232" s="2"/>
      <c r="C232" s="2"/>
      <c r="D232" s="2"/>
      <c r="E232" s="2"/>
      <c r="F232" s="2"/>
      <c r="G232" s="2"/>
      <c r="H232" s="2"/>
      <c r="I232" s="40">
        <v>13560</v>
      </c>
      <c r="J232" s="26">
        <v>0.70956363649999998</v>
      </c>
      <c r="K232" s="26">
        <v>0.45</v>
      </c>
      <c r="N232" s="26">
        <v>0.61</v>
      </c>
      <c r="Q232" s="26">
        <v>0.375</v>
      </c>
      <c r="T232" s="26">
        <v>0.36</v>
      </c>
      <c r="W232" s="26">
        <v>0</v>
      </c>
      <c r="Z232" s="26">
        <v>0</v>
      </c>
      <c r="AC232" s="26">
        <v>0.54500000000000004</v>
      </c>
      <c r="AF232" s="26">
        <v>0.33</v>
      </c>
      <c r="AI232" s="26">
        <v>0.28999999999999998</v>
      </c>
      <c r="AL232" s="26">
        <v>0.495</v>
      </c>
      <c r="AO232" s="26">
        <v>0.245</v>
      </c>
      <c r="AR232" s="26">
        <v>0.25</v>
      </c>
      <c r="AU232" s="26">
        <v>0.255</v>
      </c>
      <c r="AX232" s="26">
        <v>0</v>
      </c>
      <c r="BA232" s="26">
        <v>0</v>
      </c>
    </row>
    <row r="233" spans="1:53" s="28" customFormat="1" ht="21" x14ac:dyDescent="0.35">
      <c r="A233" s="1"/>
      <c r="B233" s="2"/>
      <c r="C233" s="2"/>
      <c r="D233" s="2"/>
      <c r="E233" s="2"/>
      <c r="F233" s="2"/>
      <c r="G233" s="2"/>
      <c r="H233" s="2"/>
      <c r="I233" s="40">
        <v>13620</v>
      </c>
      <c r="J233" s="26">
        <v>0.70438787899999999</v>
      </c>
      <c r="K233" s="26">
        <v>0.45</v>
      </c>
      <c r="N233" s="26">
        <v>0.6</v>
      </c>
      <c r="Q233" s="26">
        <v>0.37</v>
      </c>
      <c r="T233" s="26">
        <v>0.36</v>
      </c>
      <c r="W233" s="26">
        <v>0</v>
      </c>
      <c r="Z233" s="26">
        <v>0</v>
      </c>
      <c r="AC233" s="26">
        <v>0.54</v>
      </c>
      <c r="AF233" s="26">
        <v>0.32</v>
      </c>
      <c r="AI233" s="26">
        <v>0.28999999999999998</v>
      </c>
      <c r="AL233" s="26">
        <v>0.49</v>
      </c>
      <c r="AO233" s="26">
        <v>0.23499999999999999</v>
      </c>
      <c r="AR233" s="26">
        <v>0.24</v>
      </c>
      <c r="AU233" s="26">
        <v>0.245</v>
      </c>
      <c r="AX233" s="26">
        <v>0</v>
      </c>
      <c r="BA233" s="26">
        <v>0</v>
      </c>
    </row>
    <row r="234" spans="1:53" s="28" customFormat="1" ht="21" x14ac:dyDescent="0.35">
      <c r="A234" s="1"/>
      <c r="B234" s="2"/>
      <c r="C234" s="2"/>
      <c r="D234" s="2"/>
      <c r="E234" s="2"/>
      <c r="F234" s="2"/>
      <c r="G234" s="2"/>
      <c r="H234" s="2"/>
      <c r="I234" s="40">
        <v>13680</v>
      </c>
      <c r="J234" s="26">
        <v>0.69980909099999999</v>
      </c>
      <c r="K234" s="26">
        <v>0.45</v>
      </c>
      <c r="N234" s="26">
        <v>0.6</v>
      </c>
      <c r="Q234" s="26">
        <v>0.37</v>
      </c>
      <c r="T234" s="26">
        <v>0.35499999999999998</v>
      </c>
      <c r="W234" s="26">
        <v>0</v>
      </c>
      <c r="Z234" s="26">
        <v>0</v>
      </c>
      <c r="AC234" s="26">
        <v>0.53</v>
      </c>
      <c r="AF234" s="26">
        <v>0.315</v>
      </c>
      <c r="AI234" s="26">
        <v>0.28000000000000003</v>
      </c>
      <c r="AL234" s="26">
        <v>0.48</v>
      </c>
      <c r="AO234" s="26">
        <v>0.22500000000000001</v>
      </c>
      <c r="AR234" s="26">
        <v>0.23</v>
      </c>
      <c r="AU234" s="26">
        <v>0.23499999999999999</v>
      </c>
      <c r="AX234" s="26">
        <v>0</v>
      </c>
      <c r="BA234" s="26">
        <v>0</v>
      </c>
    </row>
    <row r="235" spans="1:53" s="28" customFormat="1" ht="21" x14ac:dyDescent="0.35">
      <c r="A235" s="1"/>
      <c r="B235" s="2"/>
      <c r="C235" s="2"/>
      <c r="D235" s="2"/>
      <c r="E235" s="2"/>
      <c r="F235" s="2"/>
      <c r="G235" s="2"/>
      <c r="H235" s="2"/>
      <c r="I235" s="40">
        <v>13740</v>
      </c>
      <c r="J235" s="26">
        <v>0.69516969699999998</v>
      </c>
      <c r="K235" s="26">
        <v>0.45</v>
      </c>
      <c r="N235" s="26">
        <v>0.59499999999999997</v>
      </c>
      <c r="Q235" s="26">
        <v>0.36</v>
      </c>
      <c r="T235" s="26">
        <v>0.35</v>
      </c>
      <c r="W235" s="26">
        <v>0</v>
      </c>
      <c r="Z235" s="26">
        <v>0</v>
      </c>
      <c r="AC235" s="26">
        <v>0.53</v>
      </c>
      <c r="AF235" s="26">
        <v>0.31</v>
      </c>
      <c r="AI235" s="26">
        <v>0.27500000000000002</v>
      </c>
      <c r="AL235" s="26">
        <v>0.47</v>
      </c>
      <c r="AO235" s="26">
        <v>0.215</v>
      </c>
      <c r="AR235" s="26">
        <v>0.22</v>
      </c>
      <c r="AU235" s="26">
        <v>0.22500000000000001</v>
      </c>
      <c r="AX235" s="26">
        <v>0</v>
      </c>
      <c r="BA235" s="26">
        <v>0</v>
      </c>
    </row>
    <row r="236" spans="1:53" s="28" customFormat="1" ht="21" x14ac:dyDescent="0.35">
      <c r="A236" s="1"/>
      <c r="B236" s="2"/>
      <c r="C236" s="2"/>
      <c r="D236" s="2"/>
      <c r="E236" s="2"/>
      <c r="F236" s="2"/>
      <c r="G236" s="2"/>
      <c r="H236" s="2"/>
      <c r="I236" s="40">
        <v>13800</v>
      </c>
      <c r="J236" s="26">
        <v>0.69017575750000004</v>
      </c>
      <c r="K236" s="26">
        <v>0.44</v>
      </c>
      <c r="N236" s="26">
        <v>0.59</v>
      </c>
      <c r="Q236" s="26">
        <v>0.36</v>
      </c>
      <c r="T236" s="26">
        <v>0.35</v>
      </c>
      <c r="W236" s="26">
        <v>0</v>
      </c>
      <c r="Z236" s="26">
        <v>0</v>
      </c>
      <c r="AC236" s="26">
        <v>0.52</v>
      </c>
      <c r="AF236" s="26">
        <v>0.3</v>
      </c>
      <c r="AI236" s="26">
        <v>0.27</v>
      </c>
      <c r="AL236" s="26">
        <v>0.46</v>
      </c>
      <c r="AO236" s="26">
        <v>0.20499999999999999</v>
      </c>
      <c r="AR236" s="26">
        <v>0.21</v>
      </c>
      <c r="AU236" s="26">
        <v>0.215</v>
      </c>
      <c r="AX236" s="26">
        <v>0</v>
      </c>
      <c r="BA236" s="26">
        <v>0</v>
      </c>
    </row>
    <row r="237" spans="1:53" s="28" customFormat="1" ht="21" x14ac:dyDescent="0.35">
      <c r="A237" s="1"/>
      <c r="B237" s="2"/>
      <c r="C237" s="2"/>
      <c r="D237" s="2"/>
      <c r="E237" s="2"/>
      <c r="F237" s="2"/>
      <c r="G237" s="2"/>
      <c r="H237" s="2"/>
      <c r="I237" s="40">
        <v>13860</v>
      </c>
      <c r="J237" s="26">
        <v>0.68541212149999997</v>
      </c>
      <c r="K237" s="26">
        <v>0.44</v>
      </c>
      <c r="N237" s="26">
        <v>0.59</v>
      </c>
      <c r="Q237" s="26">
        <v>0.35499999999999998</v>
      </c>
      <c r="T237" s="26">
        <v>0.34</v>
      </c>
      <c r="W237" s="26">
        <v>0</v>
      </c>
      <c r="Z237" s="26">
        <v>0</v>
      </c>
      <c r="AC237" s="26">
        <v>0.51500000000000001</v>
      </c>
      <c r="AF237" s="26">
        <v>0.3</v>
      </c>
      <c r="AI237" s="26">
        <v>0.26</v>
      </c>
      <c r="AL237" s="26">
        <v>0.45</v>
      </c>
      <c r="AO237" s="26">
        <v>0.19500000000000001</v>
      </c>
      <c r="AR237" s="26">
        <v>0.2</v>
      </c>
      <c r="AU237" s="26">
        <v>0.20499999999999999</v>
      </c>
      <c r="AX237" s="26">
        <v>0</v>
      </c>
      <c r="BA237" s="26">
        <v>0</v>
      </c>
    </row>
    <row r="238" spans="1:53" s="28" customFormat="1" ht="21" x14ac:dyDescent="0.35">
      <c r="A238" s="1"/>
      <c r="B238" s="2"/>
      <c r="C238" s="2"/>
      <c r="D238" s="2"/>
      <c r="E238" s="2"/>
      <c r="F238" s="2"/>
      <c r="G238" s="2"/>
      <c r="H238" s="2"/>
      <c r="I238" s="40">
        <v>13920</v>
      </c>
      <c r="J238" s="26">
        <v>0.68044242450000003</v>
      </c>
      <c r="K238" s="26">
        <v>0.44</v>
      </c>
      <c r="N238" s="26">
        <v>0.57999999999999996</v>
      </c>
      <c r="Q238" s="26">
        <v>0.35</v>
      </c>
      <c r="T238" s="26">
        <v>0.34</v>
      </c>
      <c r="W238" s="26">
        <v>0</v>
      </c>
      <c r="Z238" s="26">
        <v>0</v>
      </c>
      <c r="AC238" s="26">
        <v>0.51</v>
      </c>
      <c r="AF238" s="26">
        <v>0.28999999999999998</v>
      </c>
      <c r="AI238" s="26">
        <v>0.26</v>
      </c>
      <c r="AL238" s="26">
        <v>0.44</v>
      </c>
      <c r="AO238" s="26">
        <v>0.185</v>
      </c>
      <c r="AR238" s="26">
        <v>0.19</v>
      </c>
      <c r="AU238" s="26">
        <v>0.19500000000000001</v>
      </c>
      <c r="AX238" s="26">
        <v>0</v>
      </c>
      <c r="BA238" s="26">
        <v>0</v>
      </c>
    </row>
    <row r="239" spans="1:53" s="28" customFormat="1" ht="21" x14ac:dyDescent="0.35">
      <c r="A239" s="1"/>
      <c r="B239" s="2"/>
      <c r="C239" s="2"/>
      <c r="D239" s="2"/>
      <c r="E239" s="2"/>
      <c r="F239" s="2"/>
      <c r="G239" s="2"/>
      <c r="H239" s="2"/>
      <c r="I239" s="40">
        <v>13980</v>
      </c>
      <c r="J239" s="26">
        <v>0.67510606049999999</v>
      </c>
      <c r="K239" s="26">
        <v>0.44</v>
      </c>
      <c r="N239" s="26">
        <v>0.57999999999999996</v>
      </c>
      <c r="Q239" s="26">
        <v>0.34499999999999997</v>
      </c>
      <c r="T239" s="26">
        <v>0.33500000000000002</v>
      </c>
      <c r="W239" s="26">
        <v>0</v>
      </c>
      <c r="Z239" s="26">
        <v>0</v>
      </c>
      <c r="AC239" s="26">
        <v>0.5</v>
      </c>
      <c r="AF239" s="26">
        <v>0.28499999999999998</v>
      </c>
      <c r="AI239" s="26">
        <v>0.25</v>
      </c>
      <c r="AL239" s="26">
        <v>0.43</v>
      </c>
      <c r="AO239" s="26">
        <v>0.18</v>
      </c>
      <c r="AR239" s="26">
        <v>0.18</v>
      </c>
      <c r="AU239" s="26">
        <v>0.185</v>
      </c>
      <c r="AX239" s="26">
        <v>0</v>
      </c>
      <c r="BA239" s="26">
        <v>0</v>
      </c>
    </row>
    <row r="240" spans="1:53" s="28" customFormat="1" ht="21" x14ac:dyDescent="0.35">
      <c r="A240" s="1"/>
      <c r="B240" s="2"/>
      <c r="C240" s="2"/>
      <c r="D240" s="2"/>
      <c r="E240" s="2"/>
      <c r="F240" s="2"/>
      <c r="G240" s="2"/>
      <c r="H240" s="2"/>
      <c r="I240" s="40">
        <v>14040</v>
      </c>
      <c r="J240" s="26">
        <v>0.66966060599999999</v>
      </c>
      <c r="K240" s="26">
        <v>0.44</v>
      </c>
      <c r="N240" s="26">
        <v>0.57499999999999996</v>
      </c>
      <c r="Q240" s="26">
        <v>0.34</v>
      </c>
      <c r="T240" s="26">
        <v>0.33</v>
      </c>
      <c r="W240" s="26">
        <v>0</v>
      </c>
      <c r="Z240" s="26">
        <v>0</v>
      </c>
      <c r="AC240" s="26">
        <v>0.495</v>
      </c>
      <c r="AF240" s="26">
        <v>0.28000000000000003</v>
      </c>
      <c r="AI240" s="26">
        <v>0.245</v>
      </c>
      <c r="AL240" s="26">
        <v>0.42</v>
      </c>
      <c r="AO240" s="26">
        <v>0.17</v>
      </c>
      <c r="AR240" s="26">
        <v>0.17</v>
      </c>
      <c r="AU240" s="26">
        <v>0.17499999999999999</v>
      </c>
      <c r="AX240" s="26">
        <v>0</v>
      </c>
      <c r="BA240" s="26">
        <v>0</v>
      </c>
    </row>
    <row r="241" spans="1:53" s="28" customFormat="1" ht="21" x14ac:dyDescent="0.35">
      <c r="A241" s="1"/>
      <c r="B241" s="2"/>
      <c r="C241" s="2"/>
      <c r="D241" s="2"/>
      <c r="E241" s="2"/>
      <c r="F241" s="2"/>
      <c r="G241" s="2"/>
      <c r="H241" s="2"/>
      <c r="I241" s="40">
        <v>14100</v>
      </c>
      <c r="J241" s="26">
        <v>0.66372424249999995</v>
      </c>
      <c r="K241" s="26">
        <v>0.43</v>
      </c>
      <c r="N241" s="26">
        <v>0.56999999999999995</v>
      </c>
      <c r="Q241" s="26">
        <v>0.34</v>
      </c>
      <c r="T241" s="26">
        <v>0.32500000000000001</v>
      </c>
      <c r="W241" s="26">
        <v>0</v>
      </c>
      <c r="Z241" s="26">
        <v>0</v>
      </c>
      <c r="AC241" s="26">
        <v>0.49</v>
      </c>
      <c r="AF241" s="26">
        <v>0.27</v>
      </c>
      <c r="AI241" s="26">
        <v>0.24</v>
      </c>
      <c r="AL241" s="26">
        <v>0.41</v>
      </c>
      <c r="AO241" s="26">
        <v>0.16</v>
      </c>
      <c r="AR241" s="26">
        <v>0.16</v>
      </c>
      <c r="AU241" s="26">
        <v>0.16500000000000001</v>
      </c>
      <c r="AX241" s="26">
        <v>0</v>
      </c>
      <c r="BA241" s="26">
        <v>0</v>
      </c>
    </row>
    <row r="242" spans="1:53" s="28" customFormat="1" ht="21" x14ac:dyDescent="0.35">
      <c r="A242" s="1"/>
      <c r="B242" s="2"/>
      <c r="C242" s="2"/>
      <c r="D242" s="2"/>
      <c r="E242" s="2"/>
      <c r="F242" s="2"/>
      <c r="G242" s="2"/>
      <c r="H242" s="2"/>
      <c r="I242" s="40">
        <v>14160</v>
      </c>
      <c r="J242" s="26">
        <v>0.65821212100000004</v>
      </c>
      <c r="K242" s="26">
        <v>0.43</v>
      </c>
      <c r="N242" s="26">
        <v>0.56499999999999995</v>
      </c>
      <c r="Q242" s="26">
        <v>0.33</v>
      </c>
      <c r="T242" s="26">
        <v>0.32</v>
      </c>
      <c r="W242" s="26">
        <v>0</v>
      </c>
      <c r="Z242" s="26">
        <v>0.01</v>
      </c>
      <c r="AC242" s="26">
        <v>0.48</v>
      </c>
      <c r="AF242" s="26">
        <v>0.26500000000000001</v>
      </c>
      <c r="AI242" s="26">
        <v>0.23</v>
      </c>
      <c r="AL242" s="26">
        <v>0.4</v>
      </c>
      <c r="AO242" s="26">
        <v>0.15</v>
      </c>
      <c r="AR242" s="26">
        <v>0.15</v>
      </c>
      <c r="AU242" s="26">
        <v>0.155</v>
      </c>
      <c r="AX242" s="26">
        <v>0</v>
      </c>
      <c r="BA242" s="26">
        <v>0</v>
      </c>
    </row>
    <row r="243" spans="1:53" s="28" customFormat="1" ht="21" x14ac:dyDescent="0.35">
      <c r="A243" s="1"/>
      <c r="B243" s="2"/>
      <c r="C243" s="2"/>
      <c r="D243" s="2"/>
      <c r="E243" s="2"/>
      <c r="F243" s="2"/>
      <c r="G243" s="2"/>
      <c r="H243" s="2"/>
      <c r="I243" s="40">
        <v>14220</v>
      </c>
      <c r="J243" s="26">
        <v>0.65264848499999994</v>
      </c>
      <c r="K243" s="26">
        <v>0.43</v>
      </c>
      <c r="N243" s="26">
        <v>0.56000000000000005</v>
      </c>
      <c r="Q243" s="26">
        <v>0.32500000000000001</v>
      </c>
      <c r="T243" s="26">
        <v>0.315</v>
      </c>
      <c r="W243" s="26">
        <v>0</v>
      </c>
      <c r="Z243" s="26">
        <v>0.01</v>
      </c>
      <c r="AC243" s="26">
        <v>0.47499999999999998</v>
      </c>
      <c r="AF243" s="26">
        <v>0.26</v>
      </c>
      <c r="AI243" s="26">
        <v>0.22500000000000001</v>
      </c>
      <c r="AL243" s="26">
        <v>0.39</v>
      </c>
      <c r="AO243" s="26">
        <v>0.14000000000000001</v>
      </c>
      <c r="AR243" s="26">
        <v>0.14000000000000001</v>
      </c>
      <c r="AU243" s="26">
        <v>0.15</v>
      </c>
      <c r="AX243" s="26">
        <v>0</v>
      </c>
      <c r="BA243" s="26">
        <v>0</v>
      </c>
    </row>
    <row r="244" spans="1:53" s="28" customFormat="1" ht="21" x14ac:dyDescent="0.35">
      <c r="A244" s="1"/>
      <c r="B244" s="2"/>
      <c r="C244" s="2"/>
      <c r="D244" s="2"/>
      <c r="E244" s="2"/>
      <c r="F244" s="2"/>
      <c r="G244" s="2"/>
      <c r="H244" s="2"/>
      <c r="I244" s="40">
        <v>14280</v>
      </c>
      <c r="J244" s="26">
        <v>0.64707878799999996</v>
      </c>
      <c r="K244" s="26">
        <v>0.43</v>
      </c>
      <c r="N244" s="26">
        <v>0.55500000000000005</v>
      </c>
      <c r="Q244" s="26">
        <v>0.32</v>
      </c>
      <c r="T244" s="26">
        <v>0.31</v>
      </c>
      <c r="W244" s="26">
        <v>0.01</v>
      </c>
      <c r="Z244" s="26">
        <v>0.01</v>
      </c>
      <c r="AC244" s="26">
        <v>0.47</v>
      </c>
      <c r="AF244" s="26">
        <v>0.25</v>
      </c>
      <c r="AI244" s="26">
        <v>0.22</v>
      </c>
      <c r="AL244" s="26">
        <v>0.38</v>
      </c>
      <c r="AO244" s="26">
        <v>0.13</v>
      </c>
      <c r="AR244" s="26">
        <v>0.13</v>
      </c>
      <c r="AU244" s="26">
        <v>0.14000000000000001</v>
      </c>
      <c r="AX244" s="26">
        <v>0</v>
      </c>
      <c r="BA244" s="26">
        <v>5.0000000000000001E-3</v>
      </c>
    </row>
    <row r="245" spans="1:53" s="28" customFormat="1" ht="21" x14ac:dyDescent="0.35">
      <c r="A245" s="1"/>
      <c r="B245" s="2"/>
      <c r="C245" s="2"/>
      <c r="D245" s="2"/>
      <c r="E245" s="2"/>
      <c r="F245" s="2"/>
      <c r="G245" s="2"/>
      <c r="H245" s="2"/>
      <c r="I245" s="40">
        <v>14340</v>
      </c>
      <c r="J245" s="26">
        <v>0.64141818149999996</v>
      </c>
      <c r="K245" s="26">
        <v>0.43</v>
      </c>
      <c r="N245" s="26">
        <v>0.55000000000000004</v>
      </c>
      <c r="Q245" s="26">
        <v>0.315</v>
      </c>
      <c r="T245" s="26">
        <v>0.30499999999999999</v>
      </c>
      <c r="W245" s="26">
        <v>0.01</v>
      </c>
      <c r="Z245" s="26">
        <v>0.01</v>
      </c>
      <c r="AC245" s="26">
        <v>0.46500000000000002</v>
      </c>
      <c r="AF245" s="26">
        <v>0.245</v>
      </c>
      <c r="AI245" s="26">
        <v>0.21</v>
      </c>
      <c r="AL245" s="26">
        <v>0.36499999999999999</v>
      </c>
      <c r="AO245" s="26">
        <v>0.12</v>
      </c>
      <c r="AR245" s="26">
        <v>0.12</v>
      </c>
      <c r="AU245" s="26">
        <v>0.13</v>
      </c>
      <c r="AX245" s="26">
        <v>0</v>
      </c>
      <c r="BA245" s="26">
        <v>0.01</v>
      </c>
    </row>
    <row r="246" spans="1:53" s="28" customFormat="1" ht="21" x14ac:dyDescent="0.35">
      <c r="A246" s="1"/>
      <c r="B246" s="2"/>
      <c r="C246" s="2"/>
      <c r="D246" s="2"/>
      <c r="E246" s="2"/>
      <c r="F246" s="2"/>
      <c r="G246" s="2"/>
      <c r="H246" s="2"/>
      <c r="I246" s="40">
        <v>14400</v>
      </c>
      <c r="J246" s="26">
        <v>0.63457575749999995</v>
      </c>
      <c r="K246" s="26">
        <v>0.42</v>
      </c>
      <c r="N246" s="26">
        <v>0.54500000000000004</v>
      </c>
      <c r="Q246" s="26">
        <v>0.31</v>
      </c>
      <c r="T246" s="26">
        <v>0.3</v>
      </c>
      <c r="W246" s="26">
        <v>0.01</v>
      </c>
      <c r="Z246" s="26">
        <v>0.01</v>
      </c>
      <c r="AC246" s="26">
        <v>0.45500000000000002</v>
      </c>
      <c r="AF246" s="26">
        <v>0.24</v>
      </c>
      <c r="AI246" s="26">
        <v>0.20499999999999999</v>
      </c>
      <c r="AL246" s="26">
        <v>0.35499999999999998</v>
      </c>
      <c r="AO246" s="26">
        <v>0.11</v>
      </c>
      <c r="AR246" s="26">
        <v>0.11</v>
      </c>
      <c r="AU246" s="26">
        <v>0.12</v>
      </c>
      <c r="AX246" s="26">
        <v>0</v>
      </c>
      <c r="BA246" s="26">
        <v>0.01</v>
      </c>
    </row>
    <row r="247" spans="1:53" s="28" customFormat="1" ht="21" x14ac:dyDescent="0.35">
      <c r="A247" s="1"/>
      <c r="B247" s="2"/>
      <c r="C247" s="2"/>
      <c r="D247" s="2"/>
      <c r="E247" s="2"/>
      <c r="F247" s="2"/>
      <c r="G247" s="2"/>
      <c r="H247" s="2"/>
      <c r="I247" s="40">
        <v>14460</v>
      </c>
      <c r="J247" s="26">
        <v>0.62775454549999998</v>
      </c>
      <c r="K247" s="26">
        <v>0.42</v>
      </c>
      <c r="N247" s="26">
        <v>0.54</v>
      </c>
      <c r="Q247" s="26">
        <v>0.30499999999999999</v>
      </c>
      <c r="T247" s="26">
        <v>0.29499999999999998</v>
      </c>
      <c r="W247" s="26">
        <v>0.01</v>
      </c>
      <c r="Z247" s="26">
        <v>0.01</v>
      </c>
      <c r="AC247" s="26">
        <v>0.45</v>
      </c>
      <c r="AF247" s="26">
        <v>0.23</v>
      </c>
      <c r="AI247" s="26">
        <v>0.2</v>
      </c>
      <c r="AL247" s="26">
        <v>0.34499999999999997</v>
      </c>
      <c r="AO247" s="26">
        <v>0.1</v>
      </c>
      <c r="AR247" s="26">
        <v>0.1</v>
      </c>
      <c r="AU247" s="26">
        <v>0.11</v>
      </c>
      <c r="AX247" s="26">
        <v>0</v>
      </c>
      <c r="BA247" s="26">
        <v>0.01</v>
      </c>
    </row>
    <row r="248" spans="1:53" s="28" customFormat="1" ht="21" x14ac:dyDescent="0.35">
      <c r="A248" s="1"/>
      <c r="B248" s="2"/>
      <c r="C248" s="2"/>
      <c r="D248" s="2"/>
      <c r="E248" s="2"/>
      <c r="F248" s="2"/>
      <c r="G248" s="2"/>
      <c r="H248" s="2"/>
      <c r="I248" s="40">
        <v>14520</v>
      </c>
      <c r="J248" s="26">
        <v>0.62307272700000005</v>
      </c>
      <c r="K248" s="26">
        <v>0.42</v>
      </c>
      <c r="N248" s="26">
        <v>0.53500000000000003</v>
      </c>
      <c r="Q248" s="26">
        <v>0.3</v>
      </c>
      <c r="T248" s="26">
        <v>0.28999999999999998</v>
      </c>
      <c r="W248" s="26">
        <v>0.01</v>
      </c>
      <c r="Z248" s="26">
        <v>0.01</v>
      </c>
      <c r="AC248" s="26">
        <v>0.44</v>
      </c>
      <c r="AF248" s="26">
        <v>0.22500000000000001</v>
      </c>
      <c r="AI248" s="26">
        <v>0.19</v>
      </c>
      <c r="AL248" s="26">
        <v>0.33500000000000002</v>
      </c>
      <c r="AO248" s="26">
        <v>0.09</v>
      </c>
      <c r="AR248" s="26">
        <v>0.09</v>
      </c>
      <c r="AU248" s="26">
        <v>0.1</v>
      </c>
      <c r="AX248" s="26">
        <v>0</v>
      </c>
      <c r="BA248" s="26">
        <v>0.01</v>
      </c>
    </row>
    <row r="249" spans="1:53" s="28" customFormat="1" ht="21" x14ac:dyDescent="0.35">
      <c r="A249" s="1"/>
      <c r="B249" s="2"/>
      <c r="C249" s="2"/>
      <c r="D249" s="2"/>
      <c r="E249" s="2"/>
      <c r="F249" s="2"/>
      <c r="G249" s="2"/>
      <c r="H249" s="2"/>
      <c r="I249" s="40">
        <v>14580</v>
      </c>
      <c r="J249" s="26">
        <v>0.61749090900000003</v>
      </c>
      <c r="K249" s="26">
        <v>0.42</v>
      </c>
      <c r="N249" s="26">
        <v>0.53</v>
      </c>
      <c r="Q249" s="26">
        <v>0.29499999999999998</v>
      </c>
      <c r="T249" s="26">
        <v>0.28499999999999998</v>
      </c>
      <c r="W249" s="26">
        <v>0.01</v>
      </c>
      <c r="Z249" s="26">
        <v>0.01</v>
      </c>
      <c r="AC249" s="26">
        <v>0.435</v>
      </c>
      <c r="AF249" s="26">
        <v>0.22</v>
      </c>
      <c r="AI249" s="26">
        <v>0.185</v>
      </c>
      <c r="AL249" s="26">
        <v>0.32500000000000001</v>
      </c>
      <c r="AO249" s="26">
        <v>0.08</v>
      </c>
      <c r="AR249" s="26">
        <v>0.08</v>
      </c>
      <c r="AU249" s="26">
        <v>9.5000000000000001E-2</v>
      </c>
      <c r="AX249" s="26">
        <v>0</v>
      </c>
      <c r="BA249" s="26">
        <v>0.01</v>
      </c>
    </row>
    <row r="250" spans="1:53" s="28" customFormat="1" ht="21" x14ac:dyDescent="0.35">
      <c r="A250" s="1"/>
      <c r="B250" s="2"/>
      <c r="C250" s="2"/>
      <c r="D250" s="2"/>
      <c r="E250" s="2"/>
      <c r="F250" s="2"/>
      <c r="G250" s="2"/>
      <c r="H250" s="2"/>
      <c r="I250" s="40">
        <v>14640</v>
      </c>
      <c r="J250" s="26">
        <v>0.61214242399999996</v>
      </c>
      <c r="K250" s="26">
        <v>0.41499999999999998</v>
      </c>
      <c r="N250" s="26">
        <v>0.52500000000000002</v>
      </c>
      <c r="Q250" s="26">
        <v>0.28999999999999998</v>
      </c>
      <c r="T250" s="26">
        <v>0.28000000000000003</v>
      </c>
      <c r="W250" s="26">
        <v>0.01</v>
      </c>
      <c r="Z250" s="26">
        <v>0.01</v>
      </c>
      <c r="AC250" s="26">
        <v>0.43</v>
      </c>
      <c r="AF250" s="26">
        <v>0.21</v>
      </c>
      <c r="AI250" s="26">
        <v>0.18</v>
      </c>
      <c r="AL250" s="26">
        <v>0.315</v>
      </c>
      <c r="AO250" s="26">
        <v>7.0000000000000007E-2</v>
      </c>
      <c r="AR250" s="26">
        <v>7.0000000000000007E-2</v>
      </c>
      <c r="AU250" s="26">
        <v>8.5000000000000006E-2</v>
      </c>
      <c r="AX250" s="26">
        <v>0</v>
      </c>
      <c r="BA250" s="26">
        <v>0.01</v>
      </c>
    </row>
    <row r="251" spans="1:53" s="28" customFormat="1" ht="21" x14ac:dyDescent="0.35">
      <c r="A251" s="1"/>
      <c r="B251" s="2"/>
      <c r="C251" s="2"/>
      <c r="D251" s="2"/>
      <c r="E251" s="2"/>
      <c r="F251" s="2"/>
      <c r="G251" s="2"/>
      <c r="H251" s="2"/>
      <c r="I251" s="40">
        <v>14700</v>
      </c>
      <c r="J251" s="26">
        <v>0.6061363635</v>
      </c>
      <c r="K251" s="26">
        <v>0.41</v>
      </c>
      <c r="N251" s="26">
        <v>0.52</v>
      </c>
      <c r="Q251" s="26">
        <v>0.28000000000000003</v>
      </c>
      <c r="T251" s="26">
        <v>0.27500000000000002</v>
      </c>
      <c r="W251" s="26">
        <v>0.01</v>
      </c>
      <c r="Z251" s="26">
        <v>0.01</v>
      </c>
      <c r="AC251" s="26">
        <v>0.42</v>
      </c>
      <c r="AF251" s="26">
        <v>0.20499999999999999</v>
      </c>
      <c r="AI251" s="26">
        <v>0.17</v>
      </c>
      <c r="AL251" s="26">
        <v>0.31</v>
      </c>
      <c r="AO251" s="26">
        <v>0.06</v>
      </c>
      <c r="AR251" s="26">
        <v>0.06</v>
      </c>
      <c r="AU251" s="26">
        <v>7.4999999999999997E-2</v>
      </c>
      <c r="AX251" s="26">
        <v>0</v>
      </c>
      <c r="BA251" s="26">
        <v>0.01</v>
      </c>
    </row>
    <row r="252" spans="1:53" s="28" customFormat="1" ht="21" x14ac:dyDescent="0.35">
      <c r="A252" s="1"/>
      <c r="B252" s="2"/>
      <c r="C252" s="2"/>
      <c r="D252" s="2"/>
      <c r="E252" s="2"/>
      <c r="F252" s="2"/>
      <c r="G252" s="2"/>
      <c r="H252" s="2"/>
      <c r="I252" s="40">
        <v>14760</v>
      </c>
      <c r="J252" s="26">
        <v>0.59929697000000004</v>
      </c>
      <c r="K252" s="26">
        <v>0.41</v>
      </c>
      <c r="N252" s="26">
        <v>0.51500000000000001</v>
      </c>
      <c r="Q252" s="26">
        <v>0.28000000000000003</v>
      </c>
      <c r="T252" s="26">
        <v>0.27</v>
      </c>
      <c r="W252" s="26">
        <v>0.01</v>
      </c>
      <c r="Z252" s="26">
        <v>0.01</v>
      </c>
      <c r="AC252" s="26">
        <v>0.41499999999999998</v>
      </c>
      <c r="AF252" s="26">
        <v>0.19500000000000001</v>
      </c>
      <c r="AI252" s="26">
        <v>0.16500000000000001</v>
      </c>
      <c r="AL252" s="26">
        <v>0.3</v>
      </c>
      <c r="AO252" s="26">
        <v>0.05</v>
      </c>
      <c r="AR252" s="26">
        <v>0.05</v>
      </c>
      <c r="AU252" s="26">
        <v>7.0000000000000007E-2</v>
      </c>
      <c r="AX252" s="26">
        <v>0</v>
      </c>
      <c r="BA252" s="26">
        <v>0.01</v>
      </c>
    </row>
    <row r="253" spans="1:53" s="28" customFormat="1" ht="21" x14ac:dyDescent="0.35">
      <c r="A253" s="1"/>
      <c r="B253" s="2"/>
      <c r="C253" s="2"/>
      <c r="D253" s="2"/>
      <c r="E253" s="2"/>
      <c r="F253" s="2"/>
      <c r="G253" s="2"/>
      <c r="H253" s="2"/>
      <c r="I253" s="40">
        <v>14820</v>
      </c>
      <c r="J253" s="26">
        <v>0.59225151499999995</v>
      </c>
      <c r="K253" s="26">
        <v>0.41</v>
      </c>
      <c r="N253" s="26">
        <v>0.51</v>
      </c>
      <c r="Q253" s="26">
        <v>0.27</v>
      </c>
      <c r="T253" s="26">
        <v>0.26500000000000001</v>
      </c>
      <c r="W253" s="26">
        <v>0.01</v>
      </c>
      <c r="Z253" s="26">
        <v>0.01</v>
      </c>
      <c r="AC253" s="26">
        <v>0.41</v>
      </c>
      <c r="AF253" s="26">
        <v>0.19</v>
      </c>
      <c r="AI253" s="26">
        <v>0.16</v>
      </c>
      <c r="AL253" s="26">
        <v>0.28999999999999998</v>
      </c>
      <c r="AO253" s="26">
        <v>4.4999999999999998E-2</v>
      </c>
      <c r="AR253" s="26">
        <v>0.04</v>
      </c>
      <c r="AU253" s="26">
        <v>0.06</v>
      </c>
      <c r="AX253" s="26">
        <v>0</v>
      </c>
      <c r="BA253" s="26">
        <v>0.01</v>
      </c>
    </row>
    <row r="254" spans="1:53" s="28" customFormat="1" ht="21" x14ac:dyDescent="0.35">
      <c r="A254" s="1"/>
      <c r="B254" s="2"/>
      <c r="C254" s="2"/>
      <c r="D254" s="2"/>
      <c r="E254" s="2"/>
      <c r="F254" s="2"/>
      <c r="G254" s="2"/>
      <c r="H254" s="2"/>
      <c r="I254" s="40">
        <v>14880</v>
      </c>
      <c r="J254" s="26">
        <v>0.58636060599999995</v>
      </c>
      <c r="K254" s="26">
        <v>0.41</v>
      </c>
      <c r="N254" s="26">
        <v>0.505</v>
      </c>
      <c r="Q254" s="26">
        <v>0.27</v>
      </c>
      <c r="T254" s="26">
        <v>0.26</v>
      </c>
      <c r="W254" s="26">
        <v>0.01</v>
      </c>
      <c r="Z254" s="26">
        <v>0.01</v>
      </c>
      <c r="AC254" s="26">
        <v>0.4</v>
      </c>
      <c r="AF254" s="26">
        <v>0.18</v>
      </c>
      <c r="AI254" s="26">
        <v>0.15</v>
      </c>
      <c r="AL254" s="26">
        <v>0.28000000000000003</v>
      </c>
      <c r="AO254" s="26">
        <v>3.5000000000000003E-2</v>
      </c>
      <c r="AR254" s="26">
        <v>3.5000000000000003E-2</v>
      </c>
      <c r="AU254" s="26">
        <v>0.05</v>
      </c>
      <c r="AX254" s="26">
        <v>0</v>
      </c>
      <c r="BA254" s="26">
        <v>0.01</v>
      </c>
    </row>
    <row r="255" spans="1:53" s="28" customFormat="1" ht="21" x14ac:dyDescent="0.35">
      <c r="A255" s="1"/>
      <c r="B255" s="2"/>
      <c r="C255" s="2"/>
      <c r="D255" s="2"/>
      <c r="E255" s="2"/>
      <c r="F255" s="2"/>
      <c r="G255" s="2"/>
      <c r="H255" s="2"/>
      <c r="I255" s="40">
        <v>14940</v>
      </c>
      <c r="J255" s="26">
        <v>0.57966363649999997</v>
      </c>
      <c r="K255" s="26">
        <v>0.4</v>
      </c>
      <c r="N255" s="26">
        <v>0.5</v>
      </c>
      <c r="Q255" s="26">
        <v>0.26</v>
      </c>
      <c r="T255" s="26">
        <v>0.25</v>
      </c>
      <c r="W255" s="26">
        <v>0.01</v>
      </c>
      <c r="Z255" s="26">
        <v>0.01</v>
      </c>
      <c r="AC255" s="26">
        <v>0.39500000000000002</v>
      </c>
      <c r="AF255" s="26">
        <v>0.17499999999999999</v>
      </c>
      <c r="AI255" s="26">
        <v>0.14499999999999999</v>
      </c>
      <c r="AL255" s="26">
        <v>0.27</v>
      </c>
      <c r="AO255" s="26">
        <v>2.5000000000000001E-2</v>
      </c>
      <c r="AR255" s="26">
        <v>2.5000000000000001E-2</v>
      </c>
      <c r="AU255" s="26">
        <v>4.4999999999999998E-2</v>
      </c>
      <c r="AX255" s="26">
        <v>0</v>
      </c>
      <c r="BA255" s="26">
        <v>0.01</v>
      </c>
    </row>
    <row r="256" spans="1:53" s="28" customFormat="1" ht="21" x14ac:dyDescent="0.35">
      <c r="A256" s="1"/>
      <c r="B256" s="2"/>
      <c r="C256" s="2"/>
      <c r="D256" s="2"/>
      <c r="E256" s="2"/>
      <c r="F256" s="2"/>
      <c r="G256" s="2"/>
      <c r="H256" s="2"/>
      <c r="I256" s="40">
        <v>15000</v>
      </c>
      <c r="J256" s="26">
        <v>0.57380606050000005</v>
      </c>
      <c r="K256" s="26">
        <v>0.4</v>
      </c>
      <c r="N256" s="26">
        <v>0.49</v>
      </c>
      <c r="Q256" s="26">
        <v>0.255</v>
      </c>
      <c r="T256" s="26">
        <v>0.25</v>
      </c>
      <c r="W256" s="26">
        <v>0.01</v>
      </c>
      <c r="Z256" s="26">
        <v>0.01</v>
      </c>
      <c r="AC256" s="26">
        <v>0.39</v>
      </c>
      <c r="AF256" s="26">
        <v>0.17</v>
      </c>
      <c r="AI256" s="26">
        <v>0.14000000000000001</v>
      </c>
      <c r="AL256" s="26">
        <v>0.26500000000000001</v>
      </c>
      <c r="AO256" s="26">
        <v>1.4999999999999999E-2</v>
      </c>
      <c r="AR256" s="26">
        <v>0.02</v>
      </c>
      <c r="AU256" s="26">
        <v>0.04</v>
      </c>
      <c r="AX256" s="26">
        <v>0</v>
      </c>
      <c r="BA256" s="26">
        <v>0.01</v>
      </c>
    </row>
    <row r="257" spans="1:53" s="28" customFormat="1" ht="21" x14ac:dyDescent="0.35">
      <c r="A257" s="1"/>
      <c r="B257" s="2"/>
      <c r="C257" s="2"/>
      <c r="D257" s="2"/>
      <c r="E257" s="2"/>
      <c r="F257" s="2"/>
      <c r="G257" s="2"/>
      <c r="H257" s="2"/>
      <c r="I257" s="40">
        <v>15060</v>
      </c>
      <c r="J257" s="26">
        <v>0.56712424250000004</v>
      </c>
      <c r="K257" s="26">
        <v>0.4</v>
      </c>
      <c r="N257" s="26">
        <v>0.49</v>
      </c>
      <c r="Q257" s="26">
        <v>0.25</v>
      </c>
      <c r="T257" s="26">
        <v>0.24</v>
      </c>
      <c r="W257" s="26">
        <v>0.01</v>
      </c>
      <c r="Z257" s="26">
        <v>0.01</v>
      </c>
      <c r="AC257" s="26">
        <v>0.38</v>
      </c>
      <c r="AF257" s="26">
        <v>0.16</v>
      </c>
      <c r="AI257" s="26">
        <v>0.13</v>
      </c>
      <c r="AL257" s="26">
        <v>0.255</v>
      </c>
      <c r="AO257" s="26">
        <v>0.01</v>
      </c>
      <c r="AR257" s="26">
        <v>0.01</v>
      </c>
      <c r="AU257" s="26">
        <v>0.03</v>
      </c>
      <c r="AX257" s="26">
        <v>0</v>
      </c>
      <c r="BA257" s="26">
        <v>0.01</v>
      </c>
    </row>
    <row r="258" spans="1:53" s="28" customFormat="1" ht="21" x14ac:dyDescent="0.35">
      <c r="A258" s="1"/>
      <c r="B258" s="2"/>
      <c r="C258" s="2"/>
      <c r="D258" s="2"/>
      <c r="E258" s="2"/>
      <c r="F258" s="2"/>
      <c r="G258" s="2"/>
      <c r="H258" s="2"/>
      <c r="I258" s="40">
        <v>15120</v>
      </c>
      <c r="J258" s="26">
        <v>0.56658184850000004</v>
      </c>
      <c r="K258" s="26">
        <v>0.4</v>
      </c>
      <c r="N258" s="26">
        <v>0.49</v>
      </c>
      <c r="Q258" s="26">
        <v>0.25</v>
      </c>
      <c r="T258" s="26">
        <v>0.24</v>
      </c>
      <c r="W258" s="26">
        <v>0.01</v>
      </c>
      <c r="Z258" s="26">
        <v>0.01</v>
      </c>
      <c r="AC258" s="26">
        <v>0.375</v>
      </c>
      <c r="AF258" s="26">
        <v>0.15</v>
      </c>
      <c r="AI258" s="26">
        <v>0.125</v>
      </c>
      <c r="AL258" s="26">
        <v>0.25</v>
      </c>
      <c r="AO258" s="26">
        <v>5.0000000000000001E-3</v>
      </c>
      <c r="AR258" s="26">
        <v>5.0000000000000001E-3</v>
      </c>
      <c r="AU258" s="26">
        <v>2.5000000000000001E-2</v>
      </c>
      <c r="AX258" s="26">
        <v>5.0000000000000001E-3</v>
      </c>
      <c r="BA258" s="26">
        <v>0.01</v>
      </c>
    </row>
    <row r="259" spans="1:53" s="28" customFormat="1" ht="21" x14ac:dyDescent="0.35">
      <c r="A259" s="1"/>
      <c r="B259" s="2"/>
      <c r="C259" s="2"/>
      <c r="D259" s="2"/>
      <c r="E259" s="2"/>
      <c r="F259" s="2"/>
      <c r="G259" s="2"/>
      <c r="H259" s="2"/>
      <c r="I259" s="40">
        <v>15180</v>
      </c>
      <c r="J259" s="26">
        <v>0.60401217900000004</v>
      </c>
      <c r="K259" s="26">
        <v>0.4</v>
      </c>
      <c r="N259" s="26">
        <v>0.495</v>
      </c>
      <c r="Q259" s="26">
        <v>0.255</v>
      </c>
      <c r="T259" s="26">
        <v>0.245</v>
      </c>
      <c r="W259" s="26">
        <v>0.01</v>
      </c>
      <c r="Z259" s="26">
        <v>0.01</v>
      </c>
      <c r="AC259" s="26">
        <v>0.375</v>
      </c>
      <c r="AF259" s="26">
        <v>0.15</v>
      </c>
      <c r="AI259" s="26">
        <v>0.12</v>
      </c>
      <c r="AL259" s="26">
        <v>0.25</v>
      </c>
      <c r="AO259" s="26">
        <v>0</v>
      </c>
      <c r="AR259" s="26">
        <v>0</v>
      </c>
      <c r="AU259" s="26">
        <v>0.02</v>
      </c>
      <c r="AX259" s="26">
        <v>0.01</v>
      </c>
      <c r="BA259" s="26">
        <v>0.01</v>
      </c>
    </row>
    <row r="260" spans="1:53" s="28" customFormat="1" ht="21" x14ac:dyDescent="0.35">
      <c r="A260" s="1"/>
      <c r="B260" s="2"/>
      <c r="C260" s="2"/>
      <c r="D260" s="2"/>
      <c r="E260" s="2"/>
      <c r="F260" s="2"/>
      <c r="G260" s="2"/>
      <c r="H260" s="2"/>
      <c r="I260" s="40">
        <v>15240</v>
      </c>
      <c r="J260" s="26">
        <v>0.67013214649999997</v>
      </c>
      <c r="K260" s="26">
        <v>0.41</v>
      </c>
      <c r="N260" s="26">
        <v>0.51500000000000001</v>
      </c>
      <c r="Q260" s="26">
        <v>0.26500000000000001</v>
      </c>
      <c r="T260" s="26">
        <v>0.26500000000000001</v>
      </c>
      <c r="W260" s="26">
        <v>0.01</v>
      </c>
      <c r="Z260" s="26">
        <v>0.01</v>
      </c>
      <c r="AC260" s="26">
        <v>0.39</v>
      </c>
      <c r="AF260" s="26">
        <v>0.16500000000000001</v>
      </c>
      <c r="AI260" s="26">
        <v>0.13</v>
      </c>
      <c r="AL260" s="26">
        <v>0.25</v>
      </c>
      <c r="AO260" s="26">
        <v>5.0000000000000001E-3</v>
      </c>
      <c r="AR260" s="26">
        <v>5.0000000000000001E-3</v>
      </c>
      <c r="AU260" s="26">
        <v>1.4999999999999999E-2</v>
      </c>
      <c r="AX260" s="26">
        <v>0.01</v>
      </c>
      <c r="BA260" s="26">
        <v>0.01</v>
      </c>
    </row>
    <row r="261" spans="1:53" s="28" customFormat="1" ht="21" x14ac:dyDescent="0.35">
      <c r="A261" s="1"/>
      <c r="B261" s="2"/>
      <c r="C261" s="2"/>
      <c r="D261" s="2"/>
      <c r="E261" s="2"/>
      <c r="F261" s="2"/>
      <c r="G261" s="2"/>
      <c r="H261" s="2"/>
      <c r="I261" s="40">
        <v>15300</v>
      </c>
      <c r="J261" s="26">
        <v>0.73818181800000005</v>
      </c>
      <c r="K261" s="26">
        <v>0.41499999999999998</v>
      </c>
      <c r="N261" s="26">
        <v>0.52500000000000002</v>
      </c>
      <c r="Q261" s="26">
        <v>0.28499999999999998</v>
      </c>
      <c r="T261" s="26">
        <v>0.28000000000000003</v>
      </c>
      <c r="W261" s="26">
        <v>0.01</v>
      </c>
      <c r="Z261" s="26">
        <v>0.01</v>
      </c>
      <c r="AC261" s="26">
        <v>0.40500000000000003</v>
      </c>
      <c r="AF261" s="26">
        <v>0.17499999999999999</v>
      </c>
      <c r="AI261" s="26">
        <v>0.14499999999999999</v>
      </c>
      <c r="AL261" s="26">
        <v>0.26500000000000001</v>
      </c>
      <c r="AO261" s="26">
        <v>1.4999999999999999E-2</v>
      </c>
      <c r="AR261" s="26">
        <v>1.4999999999999999E-2</v>
      </c>
      <c r="AU261" s="26">
        <v>2.5000000000000001E-2</v>
      </c>
      <c r="AX261" s="26">
        <v>0.01</v>
      </c>
      <c r="BA261" s="26">
        <v>0.01</v>
      </c>
    </row>
    <row r="262" spans="1:53" s="28" customFormat="1" ht="21" x14ac:dyDescent="0.35">
      <c r="A262" s="1"/>
      <c r="B262" s="2"/>
      <c r="C262" s="2"/>
      <c r="D262" s="2"/>
      <c r="E262" s="2"/>
      <c r="F262" s="2"/>
      <c r="G262" s="2"/>
      <c r="H262" s="2"/>
      <c r="I262" s="40">
        <v>15360</v>
      </c>
      <c r="J262" s="26">
        <v>0.756469697</v>
      </c>
      <c r="K262" s="26">
        <v>0.42</v>
      </c>
      <c r="N262" s="26">
        <v>0.54500000000000004</v>
      </c>
      <c r="Q262" s="26">
        <v>0.29499999999999998</v>
      </c>
      <c r="T262" s="26">
        <v>0.29499999999999998</v>
      </c>
      <c r="W262" s="26">
        <v>0.01</v>
      </c>
      <c r="Z262" s="26">
        <v>0.01</v>
      </c>
      <c r="AC262" s="26">
        <v>0.42499999999999999</v>
      </c>
      <c r="AF262" s="26">
        <v>0.19500000000000001</v>
      </c>
      <c r="AI262" s="26">
        <v>0.16500000000000001</v>
      </c>
      <c r="AL262" s="26">
        <v>0.28499999999999998</v>
      </c>
      <c r="AO262" s="26">
        <v>2.5000000000000001E-2</v>
      </c>
      <c r="AR262" s="26">
        <v>3.5000000000000003E-2</v>
      </c>
      <c r="AU262" s="26">
        <v>3.5000000000000003E-2</v>
      </c>
      <c r="AX262" s="26">
        <v>5.0000000000000001E-3</v>
      </c>
      <c r="BA262" s="26">
        <v>0.01</v>
      </c>
    </row>
    <row r="263" spans="1:53" s="28" customFormat="1" ht="21" x14ac:dyDescent="0.35">
      <c r="A263" s="1"/>
      <c r="B263" s="2"/>
      <c r="C263" s="2"/>
      <c r="D263" s="2"/>
      <c r="E263" s="2"/>
      <c r="F263" s="2"/>
      <c r="G263" s="2"/>
      <c r="H263" s="2"/>
      <c r="I263" s="40">
        <v>15420</v>
      </c>
      <c r="J263" s="26">
        <v>0.75400303000000002</v>
      </c>
      <c r="K263" s="26">
        <v>0.43</v>
      </c>
      <c r="N263" s="26">
        <v>0.55500000000000005</v>
      </c>
      <c r="Q263" s="26">
        <v>0.31</v>
      </c>
      <c r="T263" s="26">
        <v>0.31</v>
      </c>
      <c r="W263" s="26">
        <v>0.01</v>
      </c>
      <c r="Z263" s="26">
        <v>0.01</v>
      </c>
      <c r="AC263" s="26">
        <v>0.44500000000000001</v>
      </c>
      <c r="AF263" s="26">
        <v>0.215</v>
      </c>
      <c r="AI263" s="26">
        <v>0.185</v>
      </c>
      <c r="AL263" s="26">
        <v>0.30499999999999999</v>
      </c>
      <c r="AO263" s="26">
        <v>4.4999999999999998E-2</v>
      </c>
      <c r="AR263" s="26">
        <v>5.5E-2</v>
      </c>
      <c r="AU263" s="26">
        <v>5.5E-2</v>
      </c>
      <c r="AX263" s="26">
        <v>0</v>
      </c>
      <c r="BA263" s="26">
        <v>0.01</v>
      </c>
    </row>
    <row r="264" spans="1:53" s="28" customFormat="1" ht="21" x14ac:dyDescent="0.35">
      <c r="A264" s="1"/>
      <c r="B264" s="2"/>
      <c r="C264" s="2"/>
      <c r="D264" s="2"/>
      <c r="E264" s="2"/>
      <c r="F264" s="2"/>
      <c r="G264" s="2"/>
      <c r="H264" s="2"/>
      <c r="I264" s="40">
        <v>15480</v>
      </c>
      <c r="J264" s="26">
        <v>0.74643030300000002</v>
      </c>
      <c r="K264" s="26">
        <v>0.43</v>
      </c>
      <c r="N264" s="26">
        <v>0.56000000000000005</v>
      </c>
      <c r="Q264" s="26">
        <v>0.32</v>
      </c>
      <c r="T264" s="26">
        <v>0.31</v>
      </c>
      <c r="W264" s="26">
        <v>0.01</v>
      </c>
      <c r="Z264" s="26">
        <v>0.01</v>
      </c>
      <c r="AC264" s="26">
        <v>0.45500000000000002</v>
      </c>
      <c r="AF264" s="26">
        <v>0.23</v>
      </c>
      <c r="AI264" s="26">
        <v>0.19500000000000001</v>
      </c>
      <c r="AL264" s="26">
        <v>0.32</v>
      </c>
      <c r="AO264" s="26">
        <v>0.06</v>
      </c>
      <c r="AR264" s="26">
        <v>7.4999999999999997E-2</v>
      </c>
      <c r="AU264" s="26">
        <v>7.4999999999999997E-2</v>
      </c>
      <c r="AX264" s="26">
        <v>0</v>
      </c>
      <c r="BA264" s="26">
        <v>0.01</v>
      </c>
    </row>
    <row r="265" spans="1:53" s="28" customFormat="1" ht="21" x14ac:dyDescent="0.35">
      <c r="A265" s="1"/>
      <c r="B265" s="2"/>
      <c r="C265" s="2"/>
      <c r="D265" s="2"/>
      <c r="E265" s="2"/>
      <c r="F265" s="2"/>
      <c r="G265" s="2"/>
      <c r="H265" s="2"/>
      <c r="I265" s="40">
        <v>15540</v>
      </c>
      <c r="J265" s="26">
        <v>0.73796060600000002</v>
      </c>
      <c r="K265" s="26">
        <v>0.42</v>
      </c>
      <c r="N265" s="26">
        <v>0.55000000000000004</v>
      </c>
      <c r="Q265" s="26">
        <v>0.315</v>
      </c>
      <c r="T265" s="26">
        <v>0.31</v>
      </c>
      <c r="W265" s="26">
        <v>0.01</v>
      </c>
      <c r="Z265" s="26">
        <v>0.01</v>
      </c>
      <c r="AC265" s="26">
        <v>0.46</v>
      </c>
      <c r="AF265" s="26">
        <v>0.23</v>
      </c>
      <c r="AI265" s="26">
        <v>0.2</v>
      </c>
      <c r="AL265" s="26">
        <v>0.33</v>
      </c>
      <c r="AO265" s="26">
        <v>7.4999999999999997E-2</v>
      </c>
      <c r="AR265" s="26">
        <v>8.5000000000000006E-2</v>
      </c>
      <c r="AU265" s="26">
        <v>9.5000000000000001E-2</v>
      </c>
      <c r="AX265" s="26">
        <v>0</v>
      </c>
      <c r="BA265" s="26">
        <v>0.01</v>
      </c>
    </row>
    <row r="266" spans="1:53" s="28" customFormat="1" ht="21" x14ac:dyDescent="0.35">
      <c r="A266" s="1"/>
      <c r="B266" s="2"/>
      <c r="C266" s="2"/>
      <c r="D266" s="2"/>
      <c r="E266" s="2"/>
      <c r="F266" s="2"/>
      <c r="G266" s="2"/>
      <c r="H266" s="2"/>
      <c r="I266" s="40">
        <v>15600</v>
      </c>
      <c r="J266" s="26">
        <v>0.72730606050000002</v>
      </c>
      <c r="K266" s="26">
        <v>0.42</v>
      </c>
      <c r="N266" s="26">
        <v>0.55000000000000004</v>
      </c>
      <c r="Q266" s="26">
        <v>0.31</v>
      </c>
      <c r="T266" s="26">
        <v>0.31</v>
      </c>
      <c r="W266" s="26">
        <v>0.01</v>
      </c>
      <c r="Z266" s="26">
        <v>0.01</v>
      </c>
      <c r="AC266" s="26">
        <v>0.45</v>
      </c>
      <c r="AF266" s="26">
        <v>0.23</v>
      </c>
      <c r="AI266" s="26">
        <v>0.2</v>
      </c>
      <c r="AL266" s="26">
        <v>0.33500000000000002</v>
      </c>
      <c r="AO266" s="26">
        <v>0.08</v>
      </c>
      <c r="AR266" s="26">
        <v>9.5000000000000001E-2</v>
      </c>
      <c r="AU266" s="26">
        <v>0.11</v>
      </c>
      <c r="AX266" s="26">
        <v>0</v>
      </c>
      <c r="BA266" s="26">
        <v>0.01</v>
      </c>
    </row>
    <row r="267" spans="1:53" s="28" customFormat="1" ht="21" x14ac:dyDescent="0.35">
      <c r="A267" s="1"/>
      <c r="B267" s="2"/>
      <c r="C267" s="2"/>
      <c r="D267" s="2"/>
      <c r="E267" s="2"/>
      <c r="F267" s="2"/>
      <c r="G267" s="2"/>
      <c r="H267" s="2"/>
      <c r="I267" s="40">
        <v>15660</v>
      </c>
      <c r="J267" s="26">
        <v>0.71628484849999996</v>
      </c>
      <c r="K267" s="26">
        <v>0.42</v>
      </c>
      <c r="N267" s="26">
        <v>0.54</v>
      </c>
      <c r="Q267" s="26">
        <v>0.31</v>
      </c>
      <c r="T267" s="26">
        <v>0.3</v>
      </c>
      <c r="W267" s="26">
        <v>0.01</v>
      </c>
      <c r="Z267" s="26">
        <v>0.01</v>
      </c>
      <c r="AC267" s="26">
        <v>0.45</v>
      </c>
      <c r="AF267" s="26">
        <v>0.23</v>
      </c>
      <c r="AI267" s="26">
        <v>0.2</v>
      </c>
      <c r="AL267" s="26">
        <v>0.34</v>
      </c>
      <c r="AO267" s="26">
        <v>8.5000000000000006E-2</v>
      </c>
      <c r="AR267" s="26">
        <v>0.1</v>
      </c>
      <c r="AU267" s="26">
        <v>0.12</v>
      </c>
      <c r="AX267" s="26">
        <v>0</v>
      </c>
      <c r="BA267" s="26">
        <v>0.01</v>
      </c>
    </row>
    <row r="268" spans="1:53" s="28" customFormat="1" ht="21" x14ac:dyDescent="0.35">
      <c r="A268" s="1"/>
      <c r="B268" s="2"/>
      <c r="C268" s="2"/>
      <c r="D268" s="2"/>
      <c r="E268" s="2"/>
      <c r="F268" s="2"/>
      <c r="G268" s="2"/>
      <c r="H268" s="2"/>
      <c r="I268" s="40">
        <v>15720</v>
      </c>
      <c r="J268" s="26">
        <v>0.71122727249999995</v>
      </c>
      <c r="K268" s="26">
        <v>0.42</v>
      </c>
      <c r="N268" s="26">
        <v>0.55000000000000004</v>
      </c>
      <c r="Q268" s="26">
        <v>0.31</v>
      </c>
      <c r="T268" s="26">
        <v>0.30499999999999999</v>
      </c>
      <c r="W268" s="26">
        <v>0.01</v>
      </c>
      <c r="Z268" s="26">
        <v>0.01</v>
      </c>
      <c r="AC268" s="26">
        <v>0.45</v>
      </c>
      <c r="AF268" s="26">
        <v>0.23</v>
      </c>
      <c r="AI268" s="26">
        <v>0.2</v>
      </c>
      <c r="AL268" s="26">
        <v>0.34499999999999997</v>
      </c>
      <c r="AO268" s="26">
        <v>0.09</v>
      </c>
      <c r="AR268" s="26">
        <v>0.105</v>
      </c>
      <c r="AU268" s="26">
        <v>0.125</v>
      </c>
      <c r="AX268" s="26">
        <v>0.01</v>
      </c>
      <c r="BA268" s="26">
        <v>0.01</v>
      </c>
    </row>
    <row r="269" spans="1:53" s="28" customFormat="1" ht="21" x14ac:dyDescent="0.35">
      <c r="A269" s="1"/>
      <c r="B269" s="2"/>
      <c r="C269" s="2"/>
      <c r="D269" s="2"/>
      <c r="E269" s="2"/>
      <c r="F269" s="2"/>
      <c r="G269" s="2"/>
      <c r="H269" s="2"/>
      <c r="I269" s="40">
        <v>15780</v>
      </c>
      <c r="J269" s="26">
        <v>0.75939696999999995</v>
      </c>
      <c r="K269" s="26">
        <v>0.43</v>
      </c>
      <c r="N269" s="26">
        <v>0.56499999999999995</v>
      </c>
      <c r="Q269" s="26">
        <v>0.32</v>
      </c>
      <c r="T269" s="26">
        <v>0.315</v>
      </c>
      <c r="W269" s="26">
        <v>0.01</v>
      </c>
      <c r="Z269" s="26">
        <v>0.01</v>
      </c>
      <c r="AC269" s="26">
        <v>0.46500000000000002</v>
      </c>
      <c r="AF269" s="26">
        <v>0.24</v>
      </c>
      <c r="AI269" s="26">
        <v>0.20499999999999999</v>
      </c>
      <c r="AL269" s="26">
        <v>0.35499999999999998</v>
      </c>
      <c r="AO269" s="26">
        <v>0.105</v>
      </c>
      <c r="AR269" s="26">
        <v>0.115</v>
      </c>
      <c r="AU269" s="26">
        <v>0.13500000000000001</v>
      </c>
      <c r="AX269" s="26">
        <v>0.01</v>
      </c>
      <c r="BA269" s="26">
        <v>0.01</v>
      </c>
    </row>
    <row r="270" spans="1:53" s="28" customFormat="1" ht="21" x14ac:dyDescent="0.35">
      <c r="A270" s="1"/>
      <c r="B270" s="2"/>
      <c r="C270" s="2"/>
      <c r="D270" s="2"/>
      <c r="E270" s="2"/>
      <c r="F270" s="2"/>
      <c r="G270" s="2"/>
      <c r="H270" s="2"/>
      <c r="I270" s="40">
        <v>15840</v>
      </c>
      <c r="J270" s="26">
        <v>0.85049393949999996</v>
      </c>
      <c r="K270" s="26">
        <v>0.435</v>
      </c>
      <c r="N270" s="26">
        <v>0.58499999999999996</v>
      </c>
      <c r="Q270" s="26">
        <v>0.33500000000000002</v>
      </c>
      <c r="T270" s="26">
        <v>0.33500000000000002</v>
      </c>
      <c r="W270" s="26">
        <v>0.01</v>
      </c>
      <c r="Z270" s="26">
        <v>0.01</v>
      </c>
      <c r="AC270" s="26">
        <v>0.48499999999999999</v>
      </c>
      <c r="AF270" s="26">
        <v>0.255</v>
      </c>
      <c r="AI270" s="26">
        <v>0.22500000000000001</v>
      </c>
      <c r="AL270" s="26">
        <v>0.38500000000000001</v>
      </c>
      <c r="AO270" s="26">
        <v>0.125</v>
      </c>
      <c r="AR270" s="26">
        <v>0.14000000000000001</v>
      </c>
      <c r="AU270" s="26">
        <v>0.16</v>
      </c>
      <c r="AX270" s="26">
        <v>0.01</v>
      </c>
      <c r="BA270" s="26">
        <v>0.01</v>
      </c>
    </row>
    <row r="271" spans="1:53" s="28" customFormat="1" ht="21" x14ac:dyDescent="0.35">
      <c r="A271" s="1"/>
      <c r="B271" s="2"/>
      <c r="C271" s="2"/>
      <c r="D271" s="2"/>
      <c r="E271" s="2"/>
      <c r="F271" s="2"/>
      <c r="G271" s="2"/>
      <c r="H271" s="2"/>
      <c r="I271" s="40">
        <v>15900</v>
      </c>
      <c r="J271" s="26">
        <v>0.95792121200000002</v>
      </c>
      <c r="K271" s="26">
        <v>0.44500000000000001</v>
      </c>
      <c r="N271" s="26">
        <v>0.60499999999999998</v>
      </c>
      <c r="Q271" s="26">
        <v>0.36</v>
      </c>
      <c r="T271" s="26">
        <v>0.36</v>
      </c>
      <c r="W271" s="26">
        <v>0.01</v>
      </c>
      <c r="Z271" s="26">
        <v>1.4999999999999999E-2</v>
      </c>
      <c r="AC271" s="26">
        <v>0.505</v>
      </c>
      <c r="AF271" s="26">
        <v>0.28499999999999998</v>
      </c>
      <c r="AI271" s="26">
        <v>0.245</v>
      </c>
      <c r="AL271" s="26">
        <v>0.41499999999999998</v>
      </c>
      <c r="AO271" s="26">
        <v>0.15</v>
      </c>
      <c r="AR271" s="26">
        <v>0.17</v>
      </c>
      <c r="AU271" s="26">
        <v>0.19</v>
      </c>
      <c r="AX271" s="26">
        <v>0.01</v>
      </c>
      <c r="BA271" s="26">
        <v>0.01</v>
      </c>
    </row>
    <row r="272" spans="1:53" s="28" customFormat="1" ht="21" x14ac:dyDescent="0.35">
      <c r="A272" s="1"/>
      <c r="B272" s="2"/>
      <c r="C272" s="2"/>
      <c r="D272" s="2"/>
      <c r="E272" s="2"/>
      <c r="F272" s="2"/>
      <c r="G272" s="2"/>
      <c r="H272" s="2"/>
      <c r="I272" s="40">
        <v>15960</v>
      </c>
      <c r="J272" s="26">
        <v>1.0071484845000001</v>
      </c>
      <c r="K272" s="26">
        <v>0.45500000000000002</v>
      </c>
      <c r="N272" s="26">
        <v>0.625</v>
      </c>
      <c r="Q272" s="26">
        <v>0.38500000000000001</v>
      </c>
      <c r="T272" s="26">
        <v>0.38500000000000001</v>
      </c>
      <c r="W272" s="26">
        <v>0.01</v>
      </c>
      <c r="Z272" s="26">
        <v>0.03</v>
      </c>
      <c r="AC272" s="26">
        <v>0.53500000000000003</v>
      </c>
      <c r="AF272" s="26">
        <v>0.31</v>
      </c>
      <c r="AI272" s="26">
        <v>0.27500000000000002</v>
      </c>
      <c r="AL272" s="26">
        <v>0.45</v>
      </c>
      <c r="AO272" s="26">
        <v>0.185</v>
      </c>
      <c r="AR272" s="26">
        <v>0.21</v>
      </c>
      <c r="AU272" s="26">
        <v>0.22</v>
      </c>
      <c r="AX272" s="26">
        <v>1.4999999999999999E-2</v>
      </c>
      <c r="BA272" s="26">
        <v>2.5000000000000001E-2</v>
      </c>
    </row>
    <row r="273" spans="1:53" s="28" customFormat="1" ht="21" x14ac:dyDescent="0.35">
      <c r="A273" s="1"/>
      <c r="B273" s="2"/>
      <c r="C273" s="2"/>
      <c r="D273" s="2"/>
      <c r="E273" s="2"/>
      <c r="F273" s="2"/>
      <c r="G273" s="2"/>
      <c r="H273" s="2"/>
      <c r="I273" s="40">
        <v>16020</v>
      </c>
      <c r="J273" s="26">
        <v>1.0108787880000001</v>
      </c>
      <c r="K273" s="26">
        <v>0.46</v>
      </c>
      <c r="N273" s="26">
        <v>0.64500000000000002</v>
      </c>
      <c r="Q273" s="26">
        <v>0.40500000000000003</v>
      </c>
      <c r="T273" s="26">
        <v>0.40500000000000003</v>
      </c>
      <c r="W273" s="26">
        <v>0.01</v>
      </c>
      <c r="Z273" s="26">
        <v>4.4999999999999998E-2</v>
      </c>
      <c r="AC273" s="26">
        <v>0.56000000000000005</v>
      </c>
      <c r="AF273" s="26">
        <v>0.34</v>
      </c>
      <c r="AI273" s="26">
        <v>0.30499999999999999</v>
      </c>
      <c r="AL273" s="26">
        <v>0.48499999999999999</v>
      </c>
      <c r="AO273" s="26">
        <v>0.22</v>
      </c>
      <c r="AR273" s="26">
        <v>0.25</v>
      </c>
      <c r="AU273" s="26">
        <v>0.26</v>
      </c>
      <c r="AX273" s="26">
        <v>2.5000000000000001E-2</v>
      </c>
      <c r="BA273" s="26">
        <v>4.4999999999999998E-2</v>
      </c>
    </row>
    <row r="274" spans="1:53" s="28" customFormat="1" ht="21" x14ac:dyDescent="0.35">
      <c r="A274" s="1"/>
      <c r="B274" s="2"/>
      <c r="C274" s="2"/>
      <c r="D274" s="2"/>
      <c r="E274" s="2"/>
      <c r="F274" s="2"/>
      <c r="G274" s="2"/>
      <c r="H274" s="2"/>
      <c r="I274" s="40">
        <v>16080</v>
      </c>
      <c r="J274" s="26">
        <v>0.99987878750000003</v>
      </c>
      <c r="K274" s="26">
        <v>0.47</v>
      </c>
      <c r="N274" s="26">
        <v>0.65500000000000003</v>
      </c>
      <c r="Q274" s="26">
        <v>0.42</v>
      </c>
      <c r="T274" s="26">
        <v>0.42</v>
      </c>
      <c r="W274" s="26">
        <v>0.02</v>
      </c>
      <c r="Z274" s="26">
        <v>6.5000000000000002E-2</v>
      </c>
      <c r="AC274" s="26">
        <v>0.57999999999999996</v>
      </c>
      <c r="AF274" s="26">
        <v>0.36499999999999999</v>
      </c>
      <c r="AI274" s="26">
        <v>0.32500000000000001</v>
      </c>
      <c r="AL274" s="26">
        <v>0.51500000000000001</v>
      </c>
      <c r="AO274" s="26">
        <v>0.26</v>
      </c>
      <c r="AR274" s="26">
        <v>0.28499999999999998</v>
      </c>
      <c r="AU274" s="26">
        <v>0.3</v>
      </c>
      <c r="AX274" s="26">
        <v>4.4999999999999998E-2</v>
      </c>
      <c r="BA274" s="26">
        <v>6.5000000000000002E-2</v>
      </c>
    </row>
    <row r="275" spans="1:53" s="28" customFormat="1" ht="21" x14ac:dyDescent="0.35">
      <c r="A275" s="1"/>
      <c r="B275" s="2"/>
      <c r="C275" s="2"/>
      <c r="D275" s="2"/>
      <c r="E275" s="2"/>
      <c r="F275" s="2"/>
      <c r="G275" s="2"/>
      <c r="H275" s="2"/>
      <c r="I275" s="40">
        <v>16140</v>
      </c>
      <c r="J275" s="26">
        <v>0.98350302999999994</v>
      </c>
      <c r="K275" s="26">
        <v>0.47</v>
      </c>
      <c r="N275" s="26">
        <v>0.66</v>
      </c>
      <c r="Q275" s="26">
        <v>0.43</v>
      </c>
      <c r="T275" s="26">
        <v>0.42499999999999999</v>
      </c>
      <c r="W275" s="26">
        <v>0.03</v>
      </c>
      <c r="Z275" s="26">
        <v>0.08</v>
      </c>
      <c r="AC275" s="26">
        <v>0.59</v>
      </c>
      <c r="AF275" s="26">
        <v>0.375</v>
      </c>
      <c r="AI275" s="26">
        <v>0.34</v>
      </c>
      <c r="AL275" s="26">
        <v>0.54500000000000004</v>
      </c>
      <c r="AO275" s="26">
        <v>0.28499999999999998</v>
      </c>
      <c r="AR275" s="26">
        <v>0.31</v>
      </c>
      <c r="AU275" s="26">
        <v>0.33</v>
      </c>
      <c r="AX275" s="26">
        <v>7.0000000000000007E-2</v>
      </c>
      <c r="BA275" s="26">
        <v>9.5000000000000001E-2</v>
      </c>
    </row>
    <row r="276" spans="1:53" s="28" customFormat="1" ht="21" x14ac:dyDescent="0.35">
      <c r="A276" s="1"/>
      <c r="B276" s="2"/>
      <c r="C276" s="2"/>
      <c r="D276" s="2"/>
      <c r="E276" s="2"/>
      <c r="F276" s="2"/>
      <c r="G276" s="2"/>
      <c r="H276" s="2"/>
      <c r="I276" s="40">
        <v>16200</v>
      </c>
      <c r="J276" s="26">
        <v>0.96969393950000005</v>
      </c>
      <c r="K276" s="26">
        <v>0.47</v>
      </c>
      <c r="N276" s="26">
        <v>0.66500000000000004</v>
      </c>
      <c r="Q276" s="26">
        <v>0.44</v>
      </c>
      <c r="T276" s="26">
        <v>0.43</v>
      </c>
      <c r="W276" s="26">
        <v>3.5000000000000003E-2</v>
      </c>
      <c r="Z276" s="26">
        <v>0.09</v>
      </c>
      <c r="AC276" s="26">
        <v>0.6</v>
      </c>
      <c r="AF276" s="26">
        <v>0.39</v>
      </c>
      <c r="AI276" s="26">
        <v>0.35499999999999998</v>
      </c>
      <c r="AL276" s="26">
        <v>0.56499999999999995</v>
      </c>
      <c r="AO276" s="26">
        <v>0.30499999999999999</v>
      </c>
      <c r="AR276" s="26">
        <v>0.33</v>
      </c>
      <c r="AU276" s="26">
        <v>0.35499999999999998</v>
      </c>
      <c r="AX276" s="26">
        <v>9.5000000000000001E-2</v>
      </c>
      <c r="BA276" s="26">
        <v>0.125</v>
      </c>
    </row>
    <row r="277" spans="1:53" s="28" customFormat="1" ht="21" x14ac:dyDescent="0.35">
      <c r="A277" s="1"/>
      <c r="B277" s="2"/>
      <c r="C277" s="2"/>
      <c r="D277" s="2"/>
      <c r="E277" s="2"/>
      <c r="F277" s="2"/>
      <c r="G277" s="2"/>
      <c r="H277" s="2"/>
      <c r="I277" s="40">
        <v>16260</v>
      </c>
      <c r="J277" s="26">
        <v>0.95550303049999996</v>
      </c>
      <c r="K277" s="26">
        <v>0.47</v>
      </c>
      <c r="N277" s="26">
        <v>0.67</v>
      </c>
      <c r="Q277" s="26">
        <v>0.44</v>
      </c>
      <c r="T277" s="26">
        <v>0.43</v>
      </c>
      <c r="W277" s="26">
        <v>4.4999999999999998E-2</v>
      </c>
      <c r="Z277" s="26">
        <v>0.09</v>
      </c>
      <c r="AC277" s="26">
        <v>0.61</v>
      </c>
      <c r="AF277" s="26">
        <v>0.39500000000000002</v>
      </c>
      <c r="AI277" s="26">
        <v>0.36499999999999999</v>
      </c>
      <c r="AL277" s="26">
        <v>0.57999999999999996</v>
      </c>
      <c r="AO277" s="26">
        <v>0.32500000000000001</v>
      </c>
      <c r="AR277" s="26">
        <v>0.34499999999999997</v>
      </c>
      <c r="AU277" s="26">
        <v>0.38500000000000001</v>
      </c>
      <c r="AX277" s="26">
        <v>0.11</v>
      </c>
      <c r="BA277" s="26">
        <v>0.14499999999999999</v>
      </c>
    </row>
    <row r="278" spans="1:53" s="28" customFormat="1" ht="21" x14ac:dyDescent="0.35">
      <c r="A278" s="1"/>
      <c r="B278" s="2"/>
      <c r="C278" s="2"/>
      <c r="D278" s="2"/>
      <c r="E278" s="2"/>
      <c r="F278" s="2"/>
      <c r="G278" s="2"/>
      <c r="H278" s="2"/>
      <c r="I278" s="40">
        <v>16320</v>
      </c>
      <c r="J278" s="26">
        <v>0.94288484800000005</v>
      </c>
      <c r="K278" s="26">
        <v>0.47</v>
      </c>
      <c r="N278" s="26">
        <v>0.67</v>
      </c>
      <c r="Q278" s="26">
        <v>0.45</v>
      </c>
      <c r="T278" s="26">
        <v>0.44</v>
      </c>
      <c r="W278" s="26">
        <v>0.05</v>
      </c>
      <c r="Z278" s="26">
        <v>0.09</v>
      </c>
      <c r="AC278" s="26">
        <v>0.62</v>
      </c>
      <c r="AF278" s="26">
        <v>0.40500000000000003</v>
      </c>
      <c r="AI278" s="26">
        <v>0.37</v>
      </c>
      <c r="AL278" s="26">
        <v>0.59499999999999997</v>
      </c>
      <c r="AO278" s="26">
        <v>0.34499999999999997</v>
      </c>
      <c r="AR278" s="26">
        <v>0.35499999999999998</v>
      </c>
      <c r="AU278" s="26">
        <v>0.40500000000000003</v>
      </c>
      <c r="AX278" s="26">
        <v>0.12</v>
      </c>
      <c r="BA278" s="26">
        <v>0.16</v>
      </c>
    </row>
    <row r="279" spans="1:53" s="28" customFormat="1" ht="21" x14ac:dyDescent="0.35">
      <c r="A279" s="1"/>
      <c r="B279" s="2"/>
      <c r="C279" s="2"/>
      <c r="D279" s="2"/>
      <c r="E279" s="2"/>
      <c r="F279" s="2"/>
      <c r="G279" s="2"/>
      <c r="H279" s="2"/>
      <c r="I279" s="40">
        <v>16380</v>
      </c>
      <c r="J279" s="39">
        <v>0.93063939399999995</v>
      </c>
      <c r="K279" s="28">
        <v>0.48</v>
      </c>
      <c r="N279" s="28">
        <v>0.68</v>
      </c>
      <c r="Q279" s="28">
        <v>0.45</v>
      </c>
      <c r="T279" s="28">
        <v>0.44</v>
      </c>
      <c r="W279" s="28">
        <v>0.04</v>
      </c>
      <c r="Z279" s="28">
        <v>0.09</v>
      </c>
      <c r="AC279" s="28">
        <v>0.625</v>
      </c>
      <c r="AF279" s="28">
        <v>0.41</v>
      </c>
      <c r="AI279" s="28">
        <v>0.38</v>
      </c>
      <c r="AL279" s="28">
        <v>0.60499999999999998</v>
      </c>
      <c r="AO279" s="28">
        <v>0.35499999999999998</v>
      </c>
      <c r="AR279" s="28">
        <v>0.37</v>
      </c>
      <c r="AU279" s="28">
        <v>0.42499999999999999</v>
      </c>
      <c r="AX279" s="28">
        <v>0.12</v>
      </c>
      <c r="BA279" s="28">
        <v>0.17</v>
      </c>
    </row>
    <row r="280" spans="1:53" s="28" customFormat="1" ht="21" x14ac:dyDescent="0.35">
      <c r="A280" s="1"/>
      <c r="B280" s="2"/>
      <c r="C280" s="2"/>
      <c r="D280" s="2"/>
      <c r="E280" s="2"/>
      <c r="F280" s="2"/>
      <c r="G280" s="2"/>
      <c r="H280" s="2"/>
      <c r="I280" s="40">
        <v>16440</v>
      </c>
      <c r="J280" s="39">
        <v>0.91963333349999998</v>
      </c>
      <c r="K280" s="28">
        <v>0.48</v>
      </c>
      <c r="N280" s="28">
        <v>0.68</v>
      </c>
      <c r="Q280" s="28">
        <v>0.45</v>
      </c>
      <c r="T280" s="28">
        <v>0.44</v>
      </c>
      <c r="W280" s="28">
        <v>0.04</v>
      </c>
      <c r="Z280" s="28">
        <v>0.08</v>
      </c>
      <c r="AC280" s="28">
        <v>0.63</v>
      </c>
      <c r="AF280" s="28">
        <v>0.41499999999999998</v>
      </c>
      <c r="AI280" s="28">
        <v>0.38</v>
      </c>
      <c r="AL280" s="28">
        <v>0.61499999999999999</v>
      </c>
      <c r="AO280" s="28">
        <v>0.36499999999999999</v>
      </c>
      <c r="AR280" s="28">
        <v>0.38</v>
      </c>
      <c r="AU280" s="28">
        <v>0.435</v>
      </c>
      <c r="AX280" s="28">
        <v>0.12</v>
      </c>
      <c r="BA280" s="28">
        <v>0.17</v>
      </c>
    </row>
    <row r="281" spans="1:53" s="28" customFormat="1" ht="21" x14ac:dyDescent="0.35">
      <c r="A281" s="1"/>
      <c r="B281" s="2"/>
      <c r="C281" s="2"/>
      <c r="D281" s="2"/>
      <c r="E281" s="2"/>
      <c r="F281" s="2"/>
      <c r="G281" s="2"/>
      <c r="H281" s="2"/>
      <c r="I281" s="40">
        <v>16500</v>
      </c>
      <c r="J281" s="39">
        <v>0.90931515149999997</v>
      </c>
      <c r="K281" s="28">
        <v>0.48</v>
      </c>
      <c r="N281" s="28">
        <v>0.68</v>
      </c>
      <c r="Q281" s="28">
        <v>0.46</v>
      </c>
      <c r="T281" s="28">
        <v>0.44</v>
      </c>
      <c r="W281" s="28">
        <v>0.03</v>
      </c>
      <c r="Z281" s="28">
        <v>7.4999999999999997E-2</v>
      </c>
      <c r="AC281" s="28">
        <v>0.63</v>
      </c>
      <c r="AF281" s="28">
        <v>0.42</v>
      </c>
      <c r="AI281" s="28">
        <v>0.39</v>
      </c>
      <c r="AL281" s="28">
        <v>0.625</v>
      </c>
      <c r="AO281" s="28">
        <v>0.375</v>
      </c>
      <c r="AR281" s="28">
        <v>0.38500000000000001</v>
      </c>
      <c r="AU281" s="28">
        <v>0.45</v>
      </c>
      <c r="AX281" s="28">
        <v>0.115</v>
      </c>
      <c r="BA281" s="28">
        <v>0.17</v>
      </c>
    </row>
    <row r="282" spans="1:53" s="28" customFormat="1" ht="21" x14ac:dyDescent="0.35">
      <c r="A282" s="1"/>
      <c r="B282" s="2"/>
      <c r="C282" s="2"/>
      <c r="D282" s="2"/>
      <c r="E282" s="2"/>
      <c r="F282" s="2"/>
      <c r="G282" s="2"/>
      <c r="H282" s="2"/>
      <c r="I282" s="40">
        <v>16560</v>
      </c>
      <c r="J282" s="39">
        <v>0.89843333349999999</v>
      </c>
      <c r="K282" s="28">
        <v>0.48</v>
      </c>
      <c r="N282" s="28">
        <v>0.68</v>
      </c>
      <c r="Q282" s="28">
        <v>0.46</v>
      </c>
      <c r="T282" s="28">
        <v>0.44</v>
      </c>
      <c r="W282" s="28">
        <v>0.02</v>
      </c>
      <c r="Z282" s="28">
        <v>7.0000000000000007E-2</v>
      </c>
      <c r="AC282" s="28">
        <v>0.64</v>
      </c>
      <c r="AF282" s="28">
        <v>0.42</v>
      </c>
      <c r="AI282" s="28">
        <v>0.39</v>
      </c>
      <c r="AL282" s="28">
        <v>0.63</v>
      </c>
      <c r="AO282" s="28">
        <v>0.38</v>
      </c>
      <c r="AR282" s="28">
        <v>0.39</v>
      </c>
      <c r="AU282" s="28">
        <v>0.46</v>
      </c>
      <c r="AX282" s="28">
        <v>0.11</v>
      </c>
      <c r="BA282" s="28">
        <v>0.17</v>
      </c>
    </row>
    <row r="283" spans="1:53" s="28" customFormat="1" ht="21" x14ac:dyDescent="0.35">
      <c r="A283" s="1"/>
      <c r="B283" s="2"/>
      <c r="C283" s="2"/>
      <c r="D283" s="2"/>
      <c r="E283" s="2"/>
      <c r="F283" s="2"/>
      <c r="G283" s="2"/>
      <c r="H283" s="2"/>
      <c r="I283" s="40">
        <v>16620</v>
      </c>
      <c r="J283" s="39">
        <v>0.88963636349999997</v>
      </c>
      <c r="K283" s="28">
        <v>0.48</v>
      </c>
      <c r="N283" s="28">
        <v>0.68</v>
      </c>
      <c r="Q283" s="28">
        <v>0.46</v>
      </c>
      <c r="T283" s="28">
        <v>0.44</v>
      </c>
      <c r="W283" s="28">
        <v>0.01</v>
      </c>
      <c r="Z283" s="28">
        <v>6.5000000000000002E-2</v>
      </c>
      <c r="AC283" s="28">
        <v>0.64</v>
      </c>
      <c r="AF283" s="28">
        <v>0.42499999999999999</v>
      </c>
      <c r="AI283" s="28">
        <v>0.39</v>
      </c>
      <c r="AL283" s="28">
        <v>0.64</v>
      </c>
      <c r="AO283" s="28">
        <v>0.39</v>
      </c>
      <c r="AR283" s="28">
        <v>0.4</v>
      </c>
      <c r="AU283" s="28">
        <v>0.46500000000000002</v>
      </c>
      <c r="AX283" s="28">
        <v>0.1</v>
      </c>
      <c r="BA283" s="28">
        <v>0.17</v>
      </c>
    </row>
    <row r="284" spans="1:53" s="28" customFormat="1" ht="21" x14ac:dyDescent="0.35">
      <c r="A284" s="1"/>
      <c r="B284" s="2"/>
      <c r="C284" s="2"/>
      <c r="D284" s="2"/>
      <c r="E284" s="2"/>
      <c r="F284" s="2"/>
      <c r="G284" s="2"/>
      <c r="H284" s="2"/>
      <c r="I284" s="40">
        <v>16680</v>
      </c>
      <c r="J284" s="39">
        <v>0.88054242449999998</v>
      </c>
      <c r="K284" s="28">
        <v>0.48</v>
      </c>
      <c r="N284" s="28">
        <v>0.68</v>
      </c>
      <c r="Q284" s="28">
        <v>0.46</v>
      </c>
      <c r="T284" s="28">
        <v>0.44</v>
      </c>
      <c r="W284" s="28">
        <v>0.01</v>
      </c>
      <c r="Z284" s="28">
        <v>0.06</v>
      </c>
      <c r="AC284" s="28">
        <v>0.64</v>
      </c>
      <c r="AF284" s="28">
        <v>0.43</v>
      </c>
      <c r="AI284" s="28">
        <v>0.39</v>
      </c>
      <c r="AL284" s="28">
        <v>0.64500000000000002</v>
      </c>
      <c r="AO284" s="28">
        <v>0.39</v>
      </c>
      <c r="AR284" s="28">
        <v>0.4</v>
      </c>
      <c r="AU284" s="28">
        <v>0.47</v>
      </c>
      <c r="AX284" s="28">
        <v>9.5000000000000001E-2</v>
      </c>
      <c r="BA284" s="28">
        <v>0.17</v>
      </c>
    </row>
    <row r="285" spans="1:53" s="28" customFormat="1" ht="21" x14ac:dyDescent="0.35">
      <c r="A285" s="1"/>
      <c r="B285" s="2"/>
      <c r="C285" s="2"/>
      <c r="D285" s="2"/>
      <c r="E285" s="2"/>
      <c r="F285" s="2"/>
      <c r="G285" s="2"/>
      <c r="H285" s="2"/>
      <c r="I285" s="40">
        <v>16740</v>
      </c>
      <c r="J285" s="39">
        <v>0.87294545450000005</v>
      </c>
      <c r="K285" s="28">
        <v>0.48</v>
      </c>
      <c r="N285" s="28">
        <v>0.68</v>
      </c>
      <c r="Q285" s="28">
        <v>0.46</v>
      </c>
      <c r="T285" s="28">
        <v>0.44</v>
      </c>
      <c r="W285" s="28">
        <v>0</v>
      </c>
      <c r="Z285" s="28">
        <v>5.5E-2</v>
      </c>
      <c r="AC285" s="28">
        <v>0.64</v>
      </c>
      <c r="AF285" s="28">
        <v>0.43</v>
      </c>
      <c r="AI285" s="28">
        <v>0.39500000000000002</v>
      </c>
      <c r="AL285" s="28">
        <v>0.65</v>
      </c>
      <c r="AO285" s="28">
        <v>0.4</v>
      </c>
      <c r="AR285" s="28">
        <v>0.40500000000000003</v>
      </c>
      <c r="AU285" s="28">
        <v>0.47</v>
      </c>
      <c r="AX285" s="28">
        <v>0.09</v>
      </c>
      <c r="BA285" s="28">
        <v>0.16500000000000001</v>
      </c>
    </row>
    <row r="286" spans="1:53" s="28" customFormat="1" ht="21" x14ac:dyDescent="0.35">
      <c r="A286" s="1"/>
      <c r="B286" s="2"/>
      <c r="C286" s="2"/>
      <c r="D286" s="2"/>
      <c r="E286" s="2"/>
      <c r="F286" s="2"/>
      <c r="G286" s="2"/>
      <c r="H286" s="2"/>
      <c r="I286" s="40">
        <v>16800</v>
      </c>
      <c r="J286" s="39">
        <v>0.86404848450000005</v>
      </c>
      <c r="K286" s="28">
        <v>0.48</v>
      </c>
      <c r="N286" s="28">
        <v>0.68</v>
      </c>
      <c r="Q286" s="28">
        <v>0.46</v>
      </c>
      <c r="T286" s="28">
        <v>0.44</v>
      </c>
      <c r="W286" s="28">
        <v>0</v>
      </c>
      <c r="Z286" s="28">
        <v>0.05</v>
      </c>
      <c r="AC286" s="28">
        <v>0.65</v>
      </c>
      <c r="AF286" s="28">
        <v>0.43</v>
      </c>
      <c r="AI286" s="28">
        <v>0.4</v>
      </c>
      <c r="AL286" s="28">
        <v>0.65</v>
      </c>
      <c r="AO286" s="28">
        <v>0.4</v>
      </c>
      <c r="AR286" s="28">
        <v>0.41</v>
      </c>
      <c r="AU286" s="28">
        <v>0.48</v>
      </c>
      <c r="AX286" s="28">
        <v>8.5000000000000006E-2</v>
      </c>
      <c r="BA286" s="28">
        <v>0.16</v>
      </c>
    </row>
    <row r="287" spans="1:53" s="28" customFormat="1" ht="21" x14ac:dyDescent="0.35">
      <c r="A287" s="1"/>
      <c r="B287" s="2"/>
      <c r="C287" s="2"/>
      <c r="D287" s="2"/>
      <c r="E287" s="2"/>
      <c r="F287" s="2"/>
      <c r="G287" s="2"/>
      <c r="H287" s="2"/>
      <c r="I287" s="40">
        <v>16860</v>
      </c>
      <c r="J287" s="39">
        <v>0.85667575750000002</v>
      </c>
      <c r="K287" s="28">
        <v>0.48</v>
      </c>
      <c r="N287" s="28">
        <v>0.68</v>
      </c>
      <c r="Q287" s="28">
        <v>0.46</v>
      </c>
      <c r="T287" s="28">
        <v>0.44</v>
      </c>
      <c r="W287" s="28">
        <v>0</v>
      </c>
      <c r="Z287" s="28">
        <v>4.4999999999999998E-2</v>
      </c>
      <c r="AC287" s="28">
        <v>0.65</v>
      </c>
      <c r="AF287" s="28">
        <v>0.43</v>
      </c>
      <c r="AI287" s="28">
        <v>0.4</v>
      </c>
      <c r="AL287" s="28">
        <v>0.65</v>
      </c>
      <c r="AO287" s="28">
        <v>0.4</v>
      </c>
      <c r="AR287" s="28">
        <v>0.41</v>
      </c>
      <c r="AU287" s="28">
        <v>0.48</v>
      </c>
      <c r="AX287" s="28">
        <v>0.08</v>
      </c>
      <c r="BA287" s="28">
        <v>0.155</v>
      </c>
    </row>
    <row r="288" spans="1:53" s="28" customFormat="1" ht="21" x14ac:dyDescent="0.35">
      <c r="A288" s="1"/>
      <c r="B288" s="2"/>
      <c r="C288" s="2"/>
      <c r="D288" s="2"/>
      <c r="E288" s="2"/>
      <c r="F288" s="2"/>
      <c r="G288" s="2"/>
      <c r="H288" s="2"/>
      <c r="I288" s="40">
        <v>16920</v>
      </c>
      <c r="J288" s="39">
        <v>0.84939696949999999</v>
      </c>
      <c r="K288" s="28">
        <v>0.48</v>
      </c>
      <c r="N288" s="28">
        <v>0.68</v>
      </c>
      <c r="Q288" s="28">
        <v>0.46</v>
      </c>
      <c r="T288" s="28">
        <v>0.44</v>
      </c>
      <c r="W288" s="28">
        <v>0</v>
      </c>
      <c r="Z288" s="28">
        <v>0.04</v>
      </c>
      <c r="AC288" s="28">
        <v>0.65</v>
      </c>
      <c r="AF288" s="28">
        <v>0.43</v>
      </c>
      <c r="AI288" s="28">
        <v>0.4</v>
      </c>
      <c r="AL288" s="28">
        <v>0.66</v>
      </c>
      <c r="AO288" s="28">
        <v>0.4</v>
      </c>
      <c r="AR288" s="28">
        <v>0.41</v>
      </c>
      <c r="AU288" s="28">
        <v>0.48</v>
      </c>
      <c r="AX288" s="28">
        <v>7.0000000000000007E-2</v>
      </c>
      <c r="BA288" s="28">
        <v>0.15</v>
      </c>
    </row>
    <row r="289" spans="1:53" s="28" customFormat="1" ht="21" x14ac:dyDescent="0.35">
      <c r="A289" s="1"/>
      <c r="B289" s="2"/>
      <c r="C289" s="2"/>
      <c r="D289" s="2"/>
      <c r="E289" s="2"/>
      <c r="F289" s="2"/>
      <c r="G289" s="2"/>
      <c r="H289" s="2"/>
      <c r="I289" s="40">
        <v>16980</v>
      </c>
      <c r="J289" s="39">
        <v>0.84262121199999995</v>
      </c>
      <c r="K289" s="28">
        <v>0.48</v>
      </c>
      <c r="N289" s="28">
        <v>0.68</v>
      </c>
      <c r="Q289" s="28">
        <v>0.46</v>
      </c>
      <c r="T289" s="28">
        <v>0.44</v>
      </c>
      <c r="W289" s="28">
        <v>0</v>
      </c>
      <c r="Z289" s="28">
        <v>3.5000000000000003E-2</v>
      </c>
      <c r="AC289" s="28">
        <v>0.65</v>
      </c>
      <c r="AF289" s="28">
        <v>0.43</v>
      </c>
      <c r="AI289" s="28">
        <v>0.4</v>
      </c>
      <c r="AL289" s="28">
        <v>0.66</v>
      </c>
      <c r="AO289" s="28">
        <v>0.4</v>
      </c>
      <c r="AR289" s="28">
        <v>0.41</v>
      </c>
      <c r="AU289" s="28">
        <v>0.48</v>
      </c>
      <c r="AX289" s="28">
        <v>0.06</v>
      </c>
      <c r="BA289" s="28">
        <v>0.14000000000000001</v>
      </c>
    </row>
    <row r="290" spans="1:53" s="28" customFormat="1" ht="21" x14ac:dyDescent="0.35">
      <c r="A290" s="1"/>
      <c r="B290" s="2"/>
      <c r="C290" s="2"/>
      <c r="D290" s="2"/>
      <c r="E290" s="2"/>
      <c r="F290" s="2"/>
      <c r="G290" s="2"/>
      <c r="H290" s="2"/>
      <c r="I290" s="40">
        <v>17040</v>
      </c>
      <c r="J290" s="39">
        <v>0.83524242449999997</v>
      </c>
      <c r="K290" s="28">
        <v>0.48</v>
      </c>
      <c r="N290" s="28">
        <v>0.68</v>
      </c>
      <c r="Q290" s="28">
        <v>0.45</v>
      </c>
      <c r="T290" s="28">
        <v>0.44</v>
      </c>
      <c r="W290" s="28">
        <v>0</v>
      </c>
      <c r="Z290" s="28">
        <v>0.03</v>
      </c>
      <c r="AC290" s="28">
        <v>0.65</v>
      </c>
      <c r="AF290" s="28">
        <v>0.43</v>
      </c>
      <c r="AI290" s="28">
        <v>0.4</v>
      </c>
      <c r="AL290" s="28">
        <v>0.66</v>
      </c>
      <c r="AO290" s="28">
        <v>0.4</v>
      </c>
      <c r="AR290" s="28">
        <v>0.41</v>
      </c>
      <c r="AU290" s="28">
        <v>0.47</v>
      </c>
      <c r="AX290" s="28">
        <v>0.05</v>
      </c>
      <c r="BA290" s="28">
        <v>0.13500000000000001</v>
      </c>
    </row>
    <row r="291" spans="1:53" s="28" customFormat="1" ht="21" x14ac:dyDescent="0.35">
      <c r="A291" s="1"/>
      <c r="B291" s="2"/>
      <c r="C291" s="2"/>
      <c r="D291" s="2"/>
      <c r="E291" s="2"/>
      <c r="F291" s="2"/>
      <c r="G291" s="2"/>
      <c r="H291" s="2"/>
      <c r="I291" s="40">
        <v>17100</v>
      </c>
      <c r="J291" s="39">
        <v>0.82889999999999997</v>
      </c>
      <c r="K291" s="28">
        <v>0.48</v>
      </c>
      <c r="N291" s="28">
        <v>0.68</v>
      </c>
      <c r="Q291" s="28">
        <v>0.45</v>
      </c>
      <c r="T291" s="28">
        <v>0.44</v>
      </c>
      <c r="W291" s="28">
        <v>0</v>
      </c>
      <c r="Z291" s="28">
        <v>0.02</v>
      </c>
      <c r="AC291" s="28">
        <v>0.65</v>
      </c>
      <c r="AF291" s="28">
        <v>0.43</v>
      </c>
      <c r="AI291" s="28">
        <v>0.4</v>
      </c>
      <c r="AL291" s="28">
        <v>0.66</v>
      </c>
      <c r="AO291" s="28">
        <v>0.4</v>
      </c>
      <c r="AR291" s="28">
        <v>0.41</v>
      </c>
      <c r="AU291" s="28">
        <v>0.47</v>
      </c>
      <c r="AX291" s="28">
        <v>0.04</v>
      </c>
      <c r="BA291" s="28">
        <v>0.125</v>
      </c>
    </row>
    <row r="292" spans="1:53" s="28" customFormat="1" ht="21" x14ac:dyDescent="0.35">
      <c r="A292" s="1"/>
      <c r="B292" s="2"/>
      <c r="C292" s="2"/>
      <c r="D292" s="2"/>
      <c r="E292" s="2"/>
      <c r="F292" s="2"/>
      <c r="G292" s="2"/>
      <c r="H292" s="2"/>
      <c r="I292" s="40">
        <v>17160</v>
      </c>
      <c r="J292" s="39">
        <v>0.82134242400000002</v>
      </c>
      <c r="K292" s="28">
        <v>0.48</v>
      </c>
      <c r="N292" s="28">
        <v>0.68</v>
      </c>
      <c r="Q292" s="28">
        <v>0.45</v>
      </c>
      <c r="T292" s="28">
        <v>0.44</v>
      </c>
      <c r="W292" s="28">
        <v>0</v>
      </c>
      <c r="Z292" s="28">
        <v>1.4999999999999999E-2</v>
      </c>
      <c r="AC292" s="28">
        <v>0.65</v>
      </c>
      <c r="AF292" s="28">
        <v>0.43</v>
      </c>
      <c r="AI292" s="28">
        <v>0.39500000000000002</v>
      </c>
      <c r="AL292" s="28">
        <v>0.65</v>
      </c>
      <c r="AO292" s="28">
        <v>0.4</v>
      </c>
      <c r="AR292" s="28">
        <v>0.41</v>
      </c>
      <c r="AU292" s="28">
        <v>0.47</v>
      </c>
      <c r="AX292" s="28">
        <v>0.03</v>
      </c>
      <c r="BA292" s="28">
        <v>0.115</v>
      </c>
    </row>
    <row r="293" spans="1:53" s="28" customFormat="1" ht="21" x14ac:dyDescent="0.35">
      <c r="A293" s="1"/>
      <c r="B293" s="2"/>
      <c r="C293" s="2"/>
      <c r="D293" s="2"/>
      <c r="E293" s="2"/>
      <c r="F293" s="2"/>
      <c r="G293" s="2"/>
      <c r="H293" s="2"/>
      <c r="I293" s="40">
        <v>17220</v>
      </c>
      <c r="J293" s="39">
        <v>0.81533030299999998</v>
      </c>
      <c r="K293" s="28">
        <v>0.47</v>
      </c>
      <c r="N293" s="28">
        <v>0.68</v>
      </c>
      <c r="Q293" s="28">
        <v>0.45</v>
      </c>
      <c r="T293" s="28">
        <v>0.435</v>
      </c>
      <c r="W293" s="28">
        <v>0</v>
      </c>
      <c r="Z293" s="28">
        <v>0.01</v>
      </c>
      <c r="AC293" s="28">
        <v>0.64500000000000002</v>
      </c>
      <c r="AF293" s="28">
        <v>0.43</v>
      </c>
      <c r="AI293" s="28">
        <v>0.39</v>
      </c>
      <c r="AL293" s="28">
        <v>0.65</v>
      </c>
      <c r="AO293" s="28">
        <v>0.4</v>
      </c>
      <c r="AR293" s="28">
        <v>0.40500000000000003</v>
      </c>
      <c r="AU293" s="28">
        <v>0.46</v>
      </c>
      <c r="AX293" s="28">
        <v>0.02</v>
      </c>
      <c r="BA293" s="28">
        <v>0.105</v>
      </c>
    </row>
    <row r="294" spans="1:53" s="28" customFormat="1" ht="21" x14ac:dyDescent="0.35">
      <c r="A294" s="1"/>
      <c r="B294" s="2"/>
      <c r="C294" s="2"/>
      <c r="D294" s="2"/>
      <c r="E294" s="2"/>
      <c r="F294" s="2"/>
      <c r="G294" s="2"/>
      <c r="H294" s="2"/>
      <c r="I294" s="40">
        <v>17280</v>
      </c>
      <c r="J294" s="39">
        <v>0.80863030300000005</v>
      </c>
      <c r="K294" s="28">
        <v>0.47</v>
      </c>
      <c r="N294" s="28">
        <v>0.67500000000000004</v>
      </c>
      <c r="Q294" s="28">
        <v>0.45</v>
      </c>
      <c r="T294" s="28">
        <v>0.43</v>
      </c>
      <c r="W294" s="28">
        <v>0</v>
      </c>
      <c r="Z294" s="28">
        <v>5.0000000000000001E-3</v>
      </c>
      <c r="AC294" s="28">
        <v>0.64</v>
      </c>
      <c r="AF294" s="28">
        <v>0.43</v>
      </c>
      <c r="AI294" s="28">
        <v>0.39</v>
      </c>
      <c r="AL294" s="28">
        <v>0.65</v>
      </c>
      <c r="AO294" s="28">
        <v>0.4</v>
      </c>
      <c r="AR294" s="28">
        <v>0.4</v>
      </c>
      <c r="AU294" s="28">
        <v>0.46</v>
      </c>
      <c r="AX294" s="28">
        <v>0.01</v>
      </c>
      <c r="BA294" s="28">
        <v>9.5000000000000001E-2</v>
      </c>
    </row>
    <row r="295" spans="1:53" s="28" customFormat="1" ht="21" x14ac:dyDescent="0.35">
      <c r="A295" s="1"/>
      <c r="B295" s="2"/>
      <c r="C295" s="2"/>
      <c r="D295" s="2"/>
      <c r="E295" s="2"/>
      <c r="F295" s="2"/>
      <c r="G295" s="2"/>
      <c r="H295" s="2"/>
      <c r="I295" s="40">
        <v>17340</v>
      </c>
      <c r="J295" s="39">
        <v>0.80341212100000003</v>
      </c>
      <c r="K295" s="28">
        <v>0.47</v>
      </c>
      <c r="N295" s="28">
        <v>0.67</v>
      </c>
      <c r="Q295" s="28">
        <v>0.44500000000000001</v>
      </c>
      <c r="T295" s="28">
        <v>0.43</v>
      </c>
      <c r="W295" s="28">
        <v>0</v>
      </c>
      <c r="Z295" s="28">
        <v>0</v>
      </c>
      <c r="AC295" s="28">
        <v>0.64</v>
      </c>
      <c r="AF295" s="28">
        <v>0.42</v>
      </c>
      <c r="AI295" s="28">
        <v>0.39</v>
      </c>
      <c r="AL295" s="28">
        <v>0.64500000000000002</v>
      </c>
      <c r="AO295" s="28">
        <v>0.39</v>
      </c>
      <c r="AR295" s="28">
        <v>0.4</v>
      </c>
      <c r="AU295" s="28">
        <v>0.45</v>
      </c>
      <c r="AX295" s="28">
        <v>5.0000000000000001E-3</v>
      </c>
      <c r="BA295" s="28">
        <v>8.5000000000000006E-2</v>
      </c>
    </row>
    <row r="296" spans="1:53" s="28" customFormat="1" ht="21" x14ac:dyDescent="0.35">
      <c r="A296" s="1"/>
      <c r="B296" s="2"/>
      <c r="C296" s="2"/>
      <c r="D296" s="2"/>
      <c r="E296" s="2"/>
      <c r="F296" s="2"/>
      <c r="G296" s="2"/>
      <c r="H296" s="2"/>
      <c r="I296" s="40">
        <v>17400</v>
      </c>
      <c r="J296" s="39">
        <v>0.79814545449999996</v>
      </c>
      <c r="K296" s="28">
        <v>0.47</v>
      </c>
      <c r="N296" s="28">
        <v>0.67</v>
      </c>
      <c r="Q296" s="28">
        <v>0.44</v>
      </c>
      <c r="T296" s="28">
        <v>0.43</v>
      </c>
      <c r="W296" s="28">
        <v>0</v>
      </c>
      <c r="Z296" s="28">
        <v>0</v>
      </c>
      <c r="AC296" s="28">
        <v>0.64</v>
      </c>
      <c r="AF296" s="28">
        <v>0.42</v>
      </c>
      <c r="AI296" s="28">
        <v>0.39</v>
      </c>
      <c r="AL296" s="28">
        <v>0.64</v>
      </c>
      <c r="AO296" s="28">
        <v>0.39</v>
      </c>
      <c r="AR296" s="28">
        <v>0.39500000000000002</v>
      </c>
      <c r="AU296" s="28">
        <v>0.44500000000000001</v>
      </c>
      <c r="AX296" s="28">
        <v>0</v>
      </c>
      <c r="BA296" s="28">
        <v>7.4999999999999997E-2</v>
      </c>
    </row>
    <row r="297" spans="1:53" s="28" customFormat="1" ht="21" x14ac:dyDescent="0.35">
      <c r="A297" s="1"/>
      <c r="B297" s="2"/>
      <c r="C297" s="2"/>
      <c r="D297" s="2"/>
      <c r="E297" s="2"/>
      <c r="F297" s="2"/>
      <c r="G297" s="2"/>
      <c r="H297" s="2"/>
      <c r="I297" s="40">
        <v>17460</v>
      </c>
      <c r="J297" s="39">
        <v>0.79417575750000002</v>
      </c>
      <c r="K297" s="28">
        <v>0.47</v>
      </c>
      <c r="N297" s="28">
        <v>0.67</v>
      </c>
      <c r="Q297" s="28">
        <v>0.44</v>
      </c>
      <c r="T297" s="28">
        <v>0.43</v>
      </c>
      <c r="W297" s="28">
        <v>0</v>
      </c>
      <c r="Z297" s="28">
        <v>0</v>
      </c>
      <c r="AC297" s="28">
        <v>0.64</v>
      </c>
      <c r="AF297" s="28">
        <v>0.42</v>
      </c>
      <c r="AI297" s="28">
        <v>0.38</v>
      </c>
      <c r="AL297" s="28">
        <v>0.64</v>
      </c>
      <c r="AO297" s="28">
        <v>0.38500000000000001</v>
      </c>
      <c r="AR297" s="28">
        <v>0.39</v>
      </c>
      <c r="AU297" s="28">
        <v>0.44</v>
      </c>
      <c r="AX297" s="28">
        <v>0</v>
      </c>
      <c r="BA297" s="28">
        <v>6.5000000000000002E-2</v>
      </c>
    </row>
    <row r="298" spans="1:53" s="28" customFormat="1" ht="21" x14ac:dyDescent="0.35">
      <c r="A298" s="1"/>
      <c r="B298" s="2"/>
      <c r="C298" s="2"/>
      <c r="D298" s="2"/>
      <c r="E298" s="2"/>
      <c r="F298" s="2"/>
      <c r="G298" s="2"/>
      <c r="H298" s="2"/>
      <c r="I298" s="40">
        <v>17520</v>
      </c>
      <c r="J298" s="39">
        <v>0.78881818199999998</v>
      </c>
      <c r="K298" s="28">
        <v>0.47</v>
      </c>
      <c r="N298" s="28">
        <v>0.67</v>
      </c>
      <c r="Q298" s="28">
        <v>0.44</v>
      </c>
      <c r="T298" s="28">
        <v>0.42499999999999999</v>
      </c>
      <c r="W298" s="28">
        <v>0</v>
      </c>
      <c r="Z298" s="28">
        <v>0</v>
      </c>
      <c r="AC298" s="28">
        <v>0.63</v>
      </c>
      <c r="AF298" s="28">
        <v>0.42</v>
      </c>
      <c r="AI298" s="28">
        <v>0.38</v>
      </c>
      <c r="AL298" s="28">
        <v>0.63</v>
      </c>
      <c r="AO298" s="28">
        <v>0.38</v>
      </c>
      <c r="AR298" s="28">
        <v>0.39</v>
      </c>
      <c r="AU298" s="28">
        <v>0.43</v>
      </c>
      <c r="AX298" s="28">
        <v>0</v>
      </c>
      <c r="BA298" s="28">
        <v>5.5E-2</v>
      </c>
    </row>
    <row r="299" spans="1:53" s="28" customFormat="1" ht="21" x14ac:dyDescent="0.35">
      <c r="A299" s="1"/>
      <c r="B299" s="2"/>
      <c r="C299" s="2"/>
      <c r="D299" s="2"/>
      <c r="E299" s="2"/>
      <c r="F299" s="2"/>
      <c r="G299" s="2"/>
      <c r="H299" s="2"/>
      <c r="I299" s="40">
        <v>17580</v>
      </c>
      <c r="J299" s="39">
        <v>0.78421515149999999</v>
      </c>
      <c r="K299" s="28">
        <v>0.47</v>
      </c>
      <c r="N299" s="28">
        <v>0.67</v>
      </c>
      <c r="Q299" s="28">
        <v>0.44</v>
      </c>
      <c r="T299" s="28">
        <v>0.42</v>
      </c>
      <c r="W299" s="28">
        <v>0</v>
      </c>
      <c r="Z299" s="28">
        <v>0</v>
      </c>
      <c r="AC299" s="28">
        <v>0.63</v>
      </c>
      <c r="AF299" s="28">
        <v>0.41</v>
      </c>
      <c r="AI299" s="28">
        <v>0.38</v>
      </c>
      <c r="AL299" s="28">
        <v>0.63</v>
      </c>
      <c r="AO299" s="28">
        <v>0.375</v>
      </c>
      <c r="AR299" s="28">
        <v>0.38</v>
      </c>
      <c r="AU299" s="28">
        <v>0.42499999999999999</v>
      </c>
      <c r="AX299" s="28">
        <v>0</v>
      </c>
      <c r="BA299" s="28">
        <v>4.4999999999999998E-2</v>
      </c>
    </row>
    <row r="300" spans="1:53" s="28" customFormat="1" ht="21" x14ac:dyDescent="0.35">
      <c r="A300" s="1"/>
      <c r="B300" s="2"/>
      <c r="C300" s="2"/>
      <c r="D300" s="2"/>
      <c r="E300" s="2"/>
      <c r="F300" s="2"/>
      <c r="G300" s="2"/>
      <c r="H300" s="2"/>
      <c r="I300" s="40">
        <v>17640</v>
      </c>
      <c r="J300" s="39">
        <v>0.77936060600000001</v>
      </c>
      <c r="K300" s="28">
        <v>0.47</v>
      </c>
      <c r="N300" s="28">
        <v>0.66</v>
      </c>
      <c r="Q300" s="28">
        <v>0.435</v>
      </c>
      <c r="T300" s="28">
        <v>0.42</v>
      </c>
      <c r="W300" s="28">
        <v>0</v>
      </c>
      <c r="Z300" s="28">
        <v>0</v>
      </c>
      <c r="AC300" s="28">
        <v>0.63</v>
      </c>
      <c r="AF300" s="28">
        <v>0.41</v>
      </c>
      <c r="AI300" s="28">
        <v>0.375</v>
      </c>
      <c r="AL300" s="28">
        <v>0.625</v>
      </c>
      <c r="AO300" s="28">
        <v>0.37</v>
      </c>
      <c r="AR300" s="28">
        <v>0.38</v>
      </c>
      <c r="AU300" s="28">
        <v>0.42</v>
      </c>
      <c r="AX300" s="28">
        <v>0</v>
      </c>
      <c r="BA300" s="28">
        <v>0.04</v>
      </c>
    </row>
    <row r="301" spans="1:53" s="28" customFormat="1" ht="21" x14ac:dyDescent="0.35">
      <c r="A301" s="1"/>
      <c r="B301" s="2"/>
      <c r="C301" s="2"/>
      <c r="D301" s="2"/>
      <c r="E301" s="2"/>
      <c r="F301" s="2"/>
      <c r="G301" s="2"/>
      <c r="H301" s="2"/>
      <c r="I301" s="40">
        <v>17700</v>
      </c>
      <c r="J301" s="39">
        <v>0.77474242449999997</v>
      </c>
      <c r="K301" s="28">
        <v>0.47</v>
      </c>
      <c r="N301" s="28">
        <v>0.66</v>
      </c>
      <c r="Q301" s="28">
        <v>0.43</v>
      </c>
      <c r="T301" s="28">
        <v>0.42</v>
      </c>
      <c r="W301" s="28">
        <v>0</v>
      </c>
      <c r="Z301" s="28">
        <v>0</v>
      </c>
      <c r="AC301" s="28">
        <v>0.625</v>
      </c>
      <c r="AF301" s="28">
        <v>0.41</v>
      </c>
      <c r="AI301" s="28">
        <v>0.37</v>
      </c>
      <c r="AL301" s="28">
        <v>0.62</v>
      </c>
      <c r="AO301" s="28">
        <v>0.36499999999999999</v>
      </c>
      <c r="AR301" s="28">
        <v>0.37</v>
      </c>
      <c r="AU301" s="28">
        <v>0.41</v>
      </c>
      <c r="AX301" s="28">
        <v>0</v>
      </c>
      <c r="BA301" s="28">
        <v>0.03</v>
      </c>
    </row>
    <row r="302" spans="1:53" s="28" customFormat="1" ht="21" x14ac:dyDescent="0.35">
      <c r="A302" s="1"/>
      <c r="B302" s="2"/>
      <c r="C302" s="2"/>
      <c r="D302" s="2"/>
      <c r="E302" s="2"/>
      <c r="F302" s="2"/>
      <c r="G302" s="2"/>
      <c r="H302" s="2"/>
      <c r="I302" s="40">
        <v>17760</v>
      </c>
      <c r="J302" s="39">
        <v>0.77036666649999996</v>
      </c>
      <c r="K302" s="28">
        <v>0.47</v>
      </c>
      <c r="N302" s="28">
        <v>0.66</v>
      </c>
      <c r="Q302" s="28">
        <v>0.43</v>
      </c>
      <c r="T302" s="28">
        <v>0.42</v>
      </c>
      <c r="W302" s="28">
        <v>0</v>
      </c>
      <c r="Z302" s="28">
        <v>0</v>
      </c>
      <c r="AC302" s="28">
        <v>0.62</v>
      </c>
      <c r="AF302" s="28">
        <v>0.4</v>
      </c>
      <c r="AI302" s="28">
        <v>0.37</v>
      </c>
      <c r="AL302" s="28">
        <v>0.61</v>
      </c>
      <c r="AO302" s="28">
        <v>0.36</v>
      </c>
      <c r="AR302" s="28">
        <v>0.36499999999999999</v>
      </c>
      <c r="AU302" s="28">
        <v>0.4</v>
      </c>
      <c r="AX302" s="28">
        <v>0</v>
      </c>
      <c r="BA302" s="28">
        <v>0.02</v>
      </c>
    </row>
    <row r="303" spans="1:53" s="28" customFormat="1" ht="21" x14ac:dyDescent="0.35">
      <c r="A303" s="1"/>
      <c r="B303" s="2"/>
      <c r="C303" s="2"/>
      <c r="D303" s="2"/>
      <c r="E303" s="2"/>
      <c r="F303" s="2"/>
      <c r="G303" s="2"/>
      <c r="H303" s="2"/>
      <c r="I303" s="40">
        <v>17820</v>
      </c>
      <c r="J303" s="39">
        <v>0.76579697000000002</v>
      </c>
      <c r="K303" s="28">
        <v>0.47</v>
      </c>
      <c r="N303" s="28">
        <v>0.66</v>
      </c>
      <c r="Q303" s="28">
        <v>0.43</v>
      </c>
      <c r="T303" s="28">
        <v>0.41</v>
      </c>
      <c r="W303" s="28">
        <v>0</v>
      </c>
      <c r="Z303" s="28">
        <v>0</v>
      </c>
      <c r="AC303" s="28">
        <v>0.62</v>
      </c>
      <c r="AF303" s="28">
        <v>0.4</v>
      </c>
      <c r="AI303" s="28">
        <v>0.36</v>
      </c>
      <c r="AL303" s="28">
        <v>0.61</v>
      </c>
      <c r="AO303" s="28">
        <v>0.35499999999999998</v>
      </c>
      <c r="AR303" s="28">
        <v>0.36</v>
      </c>
      <c r="AU303" s="28">
        <v>0.39500000000000002</v>
      </c>
      <c r="AX303" s="28">
        <v>0</v>
      </c>
      <c r="BA303" s="28">
        <v>0.01</v>
      </c>
    </row>
    <row r="304" spans="1:53" s="28" customFormat="1" ht="21" x14ac:dyDescent="0.35">
      <c r="A304" s="1"/>
      <c r="B304" s="2"/>
      <c r="C304" s="2"/>
      <c r="D304" s="2"/>
      <c r="E304" s="2"/>
      <c r="F304" s="2"/>
      <c r="G304" s="2"/>
      <c r="H304" s="2"/>
      <c r="I304" s="40">
        <v>17880</v>
      </c>
      <c r="J304" s="39">
        <v>0.76056363650000003</v>
      </c>
      <c r="K304" s="28">
        <v>0.47</v>
      </c>
      <c r="N304" s="28">
        <v>0.65</v>
      </c>
      <c r="Q304" s="28">
        <v>0.42499999999999999</v>
      </c>
      <c r="T304" s="28">
        <v>0.41</v>
      </c>
      <c r="W304" s="28">
        <v>0</v>
      </c>
      <c r="Z304" s="28">
        <v>0</v>
      </c>
      <c r="AC304" s="28">
        <v>0.61</v>
      </c>
      <c r="AF304" s="28">
        <v>0.39500000000000002</v>
      </c>
      <c r="AI304" s="28">
        <v>0.36</v>
      </c>
      <c r="AL304" s="28">
        <v>0.6</v>
      </c>
      <c r="AO304" s="28">
        <v>0.35</v>
      </c>
      <c r="AR304" s="28">
        <v>0.35499999999999998</v>
      </c>
      <c r="AU304" s="28">
        <v>0.38500000000000001</v>
      </c>
      <c r="AX304" s="28">
        <v>0</v>
      </c>
      <c r="BA304" s="28">
        <v>5.0000000000000001E-3</v>
      </c>
    </row>
    <row r="305" spans="1:53" s="28" customFormat="1" ht="21" x14ac:dyDescent="0.35">
      <c r="A305" s="1"/>
      <c r="B305" s="2"/>
      <c r="C305" s="2"/>
      <c r="D305" s="2"/>
      <c r="E305" s="2"/>
      <c r="F305" s="2"/>
      <c r="G305" s="2"/>
      <c r="H305" s="2"/>
      <c r="I305" s="40">
        <v>17940</v>
      </c>
      <c r="J305" s="39">
        <v>0.75568181800000001</v>
      </c>
      <c r="K305" s="28">
        <v>0.46</v>
      </c>
      <c r="N305" s="28">
        <v>0.65</v>
      </c>
      <c r="Q305" s="28">
        <v>0.42</v>
      </c>
      <c r="T305" s="28">
        <v>0.41</v>
      </c>
      <c r="W305" s="28">
        <v>0</v>
      </c>
      <c r="Z305" s="28">
        <v>0</v>
      </c>
      <c r="AC305" s="28">
        <v>0.61</v>
      </c>
      <c r="AF305" s="28">
        <v>0.39</v>
      </c>
      <c r="AI305" s="28">
        <v>0.35499999999999998</v>
      </c>
      <c r="AL305" s="28">
        <v>0.59499999999999997</v>
      </c>
      <c r="AO305" s="28">
        <v>0.34</v>
      </c>
      <c r="AR305" s="28">
        <v>0.35</v>
      </c>
      <c r="AU305" s="28">
        <v>0.375</v>
      </c>
      <c r="AX305" s="28">
        <v>0</v>
      </c>
      <c r="BA305" s="28">
        <v>0</v>
      </c>
    </row>
    <row r="306" spans="1:53" s="28" customFormat="1" ht="21" x14ac:dyDescent="0.35">
      <c r="A306" s="1"/>
      <c r="B306" s="2"/>
      <c r="C306" s="2"/>
      <c r="D306" s="2"/>
      <c r="E306" s="2"/>
      <c r="F306" s="2"/>
      <c r="G306" s="2"/>
      <c r="H306" s="2"/>
      <c r="I306" s="40">
        <v>18000</v>
      </c>
      <c r="J306" s="39">
        <v>0.75199090950000003</v>
      </c>
      <c r="K306" s="28">
        <v>0.46</v>
      </c>
      <c r="N306" s="28">
        <v>0.65</v>
      </c>
      <c r="Q306" s="28">
        <v>0.42</v>
      </c>
      <c r="T306" s="28">
        <v>0.40500000000000003</v>
      </c>
      <c r="W306" s="28">
        <v>0</v>
      </c>
      <c r="Z306" s="28">
        <v>0</v>
      </c>
      <c r="AC306" s="28">
        <v>0.60499999999999998</v>
      </c>
      <c r="AF306" s="28">
        <v>0.39</v>
      </c>
      <c r="AI306" s="28">
        <v>0.35</v>
      </c>
      <c r="AL306" s="28">
        <v>0.59</v>
      </c>
      <c r="AO306" s="28">
        <v>0.33500000000000002</v>
      </c>
      <c r="AR306" s="28">
        <v>0.34</v>
      </c>
      <c r="AU306" s="28">
        <v>0.36499999999999999</v>
      </c>
      <c r="AX306" s="28">
        <v>0</v>
      </c>
      <c r="BA306" s="28">
        <v>0</v>
      </c>
    </row>
    <row r="307" spans="1:53" s="28" customFormat="1" ht="21" x14ac:dyDescent="0.35">
      <c r="A307" s="1"/>
      <c r="B307" s="2"/>
      <c r="C307" s="2"/>
      <c r="D307" s="2"/>
      <c r="E307" s="2"/>
      <c r="F307" s="2"/>
      <c r="G307" s="2"/>
      <c r="H307" s="2"/>
      <c r="I307" s="40">
        <v>18060</v>
      </c>
      <c r="J307" s="39">
        <v>0.74632727249999997</v>
      </c>
      <c r="K307" s="28">
        <v>0.46</v>
      </c>
      <c r="N307" s="28">
        <v>0.64500000000000002</v>
      </c>
      <c r="Q307" s="28">
        <v>0.41499999999999998</v>
      </c>
      <c r="T307" s="28">
        <v>0.4</v>
      </c>
      <c r="W307" s="28">
        <v>0</v>
      </c>
      <c r="Z307" s="28">
        <v>0</v>
      </c>
      <c r="AC307" s="28">
        <v>0.6</v>
      </c>
      <c r="AF307" s="28">
        <v>0.38</v>
      </c>
      <c r="AI307" s="28">
        <v>0.35</v>
      </c>
      <c r="AL307" s="28">
        <v>0.57999999999999996</v>
      </c>
      <c r="AO307" s="28">
        <v>0.32500000000000001</v>
      </c>
      <c r="AR307" s="28">
        <v>0.33</v>
      </c>
      <c r="AU307" s="28">
        <v>0.35499999999999998</v>
      </c>
      <c r="AX307" s="28">
        <v>0</v>
      </c>
      <c r="BA307" s="28">
        <v>0</v>
      </c>
    </row>
    <row r="308" spans="1:53" s="28" customFormat="1" ht="21" x14ac:dyDescent="0.35">
      <c r="A308" s="1"/>
      <c r="B308" s="2"/>
      <c r="C308" s="2"/>
      <c r="D308" s="2"/>
      <c r="E308" s="2"/>
      <c r="F308" s="2"/>
      <c r="G308" s="2"/>
      <c r="H308" s="2"/>
      <c r="I308" s="40">
        <v>18120</v>
      </c>
      <c r="J308" s="39">
        <v>0.74241212150000002</v>
      </c>
      <c r="K308" s="28">
        <v>0.46</v>
      </c>
      <c r="N308" s="28">
        <v>0.64</v>
      </c>
      <c r="Q308" s="28">
        <v>0.41</v>
      </c>
      <c r="T308" s="28">
        <v>0.4</v>
      </c>
      <c r="W308" s="28">
        <v>0</v>
      </c>
      <c r="Z308" s="28">
        <v>0</v>
      </c>
      <c r="AC308" s="28">
        <v>0.59499999999999997</v>
      </c>
      <c r="AF308" s="28">
        <v>0.38</v>
      </c>
      <c r="AI308" s="28">
        <v>0.34</v>
      </c>
      <c r="AL308" s="28">
        <v>0.56999999999999995</v>
      </c>
      <c r="AO308" s="28">
        <v>0.32</v>
      </c>
      <c r="AR308" s="28">
        <v>0.32500000000000001</v>
      </c>
      <c r="AU308" s="28">
        <v>0.34499999999999997</v>
      </c>
      <c r="AX308" s="28">
        <v>0</v>
      </c>
      <c r="BA308" s="28">
        <v>0</v>
      </c>
    </row>
    <row r="309" spans="1:53" s="28" customFormat="1" ht="21" x14ac:dyDescent="0.35">
      <c r="A309" s="1"/>
      <c r="B309" s="2"/>
      <c r="C309" s="2"/>
      <c r="D309" s="2"/>
      <c r="E309" s="2"/>
      <c r="F309" s="2"/>
      <c r="G309" s="2"/>
      <c r="H309" s="2"/>
      <c r="I309" s="40">
        <v>18180</v>
      </c>
      <c r="J309" s="39">
        <v>0.73792121249999998</v>
      </c>
      <c r="K309" s="28">
        <v>0.46</v>
      </c>
      <c r="N309" s="28">
        <v>0.64</v>
      </c>
      <c r="Q309" s="28">
        <v>0.41</v>
      </c>
      <c r="T309" s="28">
        <v>0.4</v>
      </c>
      <c r="W309" s="28">
        <v>0</v>
      </c>
      <c r="Z309" s="28">
        <v>0</v>
      </c>
      <c r="AC309" s="28">
        <v>0.59</v>
      </c>
      <c r="AF309" s="28">
        <v>0.37</v>
      </c>
      <c r="AI309" s="28">
        <v>0.34</v>
      </c>
      <c r="AL309" s="28">
        <v>0.56499999999999995</v>
      </c>
      <c r="AO309" s="28">
        <v>0.31</v>
      </c>
      <c r="AR309" s="28">
        <v>0.315</v>
      </c>
      <c r="AU309" s="28">
        <v>0.33500000000000002</v>
      </c>
      <c r="AX309" s="28">
        <v>0</v>
      </c>
      <c r="BA309" s="28">
        <v>0</v>
      </c>
    </row>
    <row r="310" spans="1:53" s="28" customFormat="1" ht="21" x14ac:dyDescent="0.35">
      <c r="A310" s="1"/>
      <c r="B310" s="2"/>
      <c r="C310" s="2"/>
      <c r="D310" s="2"/>
      <c r="E310" s="2"/>
      <c r="F310" s="2"/>
      <c r="G310" s="2"/>
      <c r="H310" s="2"/>
      <c r="I310" s="40">
        <v>18240</v>
      </c>
      <c r="J310" s="39">
        <v>0.73279393950000005</v>
      </c>
      <c r="K310" s="28">
        <v>0.46</v>
      </c>
      <c r="N310" s="28">
        <v>0.64</v>
      </c>
      <c r="Q310" s="28">
        <v>0.41</v>
      </c>
      <c r="T310" s="28">
        <v>0.39</v>
      </c>
      <c r="W310" s="28">
        <v>0</v>
      </c>
      <c r="Z310" s="28">
        <v>0</v>
      </c>
      <c r="AC310" s="28">
        <v>0.58499999999999996</v>
      </c>
      <c r="AF310" s="28">
        <v>0.37</v>
      </c>
      <c r="AI310" s="28">
        <v>0.33</v>
      </c>
      <c r="AL310" s="28">
        <v>0.55500000000000005</v>
      </c>
      <c r="AO310" s="28">
        <v>0.3</v>
      </c>
      <c r="AR310" s="28">
        <v>0.31</v>
      </c>
      <c r="AU310" s="28">
        <v>0.32500000000000001</v>
      </c>
      <c r="AX310" s="28">
        <v>0</v>
      </c>
      <c r="BA310" s="28">
        <v>0</v>
      </c>
    </row>
    <row r="311" spans="1:53" s="28" customFormat="1" ht="21" x14ac:dyDescent="0.35">
      <c r="A311" s="1"/>
      <c r="B311" s="2"/>
      <c r="C311" s="2"/>
      <c r="D311" s="2"/>
      <c r="E311" s="2"/>
      <c r="F311" s="2"/>
      <c r="G311" s="2"/>
      <c r="H311" s="2"/>
      <c r="I311" s="40">
        <v>18300</v>
      </c>
      <c r="J311" s="39">
        <v>0.72865151500000003</v>
      </c>
      <c r="K311" s="28">
        <v>0.46</v>
      </c>
      <c r="N311" s="28">
        <v>0.63</v>
      </c>
      <c r="Q311" s="28">
        <v>0.4</v>
      </c>
      <c r="T311" s="28">
        <v>0.39</v>
      </c>
      <c r="W311" s="28">
        <v>0</v>
      </c>
      <c r="Z311" s="28">
        <v>0</v>
      </c>
      <c r="AC311" s="28">
        <v>0.57999999999999996</v>
      </c>
      <c r="AF311" s="28">
        <v>0.36</v>
      </c>
      <c r="AI311" s="28">
        <v>0.33</v>
      </c>
      <c r="AL311" s="28">
        <v>0.55000000000000004</v>
      </c>
      <c r="AO311" s="28">
        <v>0.29499999999999998</v>
      </c>
      <c r="AR311" s="28">
        <v>0.3</v>
      </c>
      <c r="AU311" s="28">
        <v>0.315</v>
      </c>
      <c r="AX311" s="28">
        <v>0</v>
      </c>
      <c r="BA311" s="28">
        <v>0</v>
      </c>
    </row>
    <row r="312" spans="1:53" s="28" customFormat="1" ht="21" x14ac:dyDescent="0.35">
      <c r="A312" s="1"/>
      <c r="B312" s="2"/>
      <c r="C312" s="2"/>
      <c r="D312" s="2"/>
      <c r="E312" s="2"/>
      <c r="F312" s="2"/>
      <c r="G312" s="2"/>
      <c r="H312" s="2"/>
      <c r="I312" s="40">
        <v>18360</v>
      </c>
      <c r="J312" s="39">
        <v>0.72399696950000003</v>
      </c>
      <c r="K312" s="28">
        <v>0.46</v>
      </c>
      <c r="N312" s="28">
        <v>0.63</v>
      </c>
      <c r="Q312" s="28">
        <v>0.4</v>
      </c>
      <c r="T312" s="28">
        <v>0.39</v>
      </c>
      <c r="W312" s="28">
        <v>0</v>
      </c>
      <c r="Z312" s="28">
        <v>0</v>
      </c>
      <c r="AC312" s="28">
        <v>0.57499999999999996</v>
      </c>
      <c r="AF312" s="28">
        <v>0.36</v>
      </c>
      <c r="AI312" s="28">
        <v>0.32</v>
      </c>
      <c r="AL312" s="28">
        <v>0.54</v>
      </c>
      <c r="AO312" s="28">
        <v>0.28499999999999998</v>
      </c>
      <c r="AR312" s="28">
        <v>0.28999999999999998</v>
      </c>
      <c r="AU312" s="28">
        <v>0.30499999999999999</v>
      </c>
      <c r="AX312" s="28">
        <v>0</v>
      </c>
      <c r="BA312" s="28">
        <v>0</v>
      </c>
    </row>
    <row r="313" spans="1:53" s="28" customFormat="1" ht="21" x14ac:dyDescent="0.35">
      <c r="A313" s="1"/>
      <c r="B313" s="2"/>
      <c r="C313" s="2"/>
      <c r="D313" s="2"/>
      <c r="E313" s="2"/>
      <c r="F313" s="2"/>
      <c r="G313" s="2"/>
      <c r="H313" s="2"/>
      <c r="I313" s="40">
        <v>18420</v>
      </c>
      <c r="J313" s="39">
        <v>0.71952424250000002</v>
      </c>
      <c r="K313" s="28">
        <v>0.45500000000000002</v>
      </c>
      <c r="N313" s="28">
        <v>0.63</v>
      </c>
      <c r="Q313" s="28">
        <v>0.4</v>
      </c>
      <c r="T313" s="28">
        <v>0.38</v>
      </c>
      <c r="W313" s="28">
        <v>0</v>
      </c>
      <c r="Z313" s="28">
        <v>0</v>
      </c>
      <c r="AC313" s="28">
        <v>0.56999999999999995</v>
      </c>
      <c r="AF313" s="28">
        <v>0.35</v>
      </c>
      <c r="AI313" s="28">
        <v>0.32</v>
      </c>
      <c r="AL313" s="28">
        <v>0.53</v>
      </c>
      <c r="AO313" s="28">
        <v>0.27500000000000002</v>
      </c>
      <c r="AR313" s="28">
        <v>0.28499999999999998</v>
      </c>
      <c r="AU313" s="28">
        <v>0.29499999999999998</v>
      </c>
      <c r="AX313" s="28">
        <v>0</v>
      </c>
      <c r="BA313" s="28">
        <v>0</v>
      </c>
    </row>
    <row r="314" spans="1:53" s="28" customFormat="1" ht="21" x14ac:dyDescent="0.35">
      <c r="A314" s="1"/>
      <c r="B314" s="2"/>
      <c r="C314" s="2"/>
      <c r="D314" s="2"/>
      <c r="E314" s="2"/>
      <c r="F314" s="2"/>
      <c r="G314" s="2"/>
      <c r="H314" s="2"/>
      <c r="I314" s="40">
        <v>18480</v>
      </c>
      <c r="J314" s="39">
        <v>0.71515454550000002</v>
      </c>
      <c r="K314" s="28">
        <v>0.45</v>
      </c>
      <c r="N314" s="28">
        <v>0.62</v>
      </c>
      <c r="Q314" s="28">
        <v>0.39</v>
      </c>
      <c r="T314" s="28">
        <v>0.38</v>
      </c>
      <c r="W314" s="28">
        <v>0</v>
      </c>
      <c r="Z314" s="28">
        <v>0</v>
      </c>
      <c r="AC314" s="28">
        <v>0.56499999999999995</v>
      </c>
      <c r="AF314" s="28">
        <v>0.35</v>
      </c>
      <c r="AI314" s="28">
        <v>0.31</v>
      </c>
      <c r="AL314" s="28">
        <v>0.52500000000000002</v>
      </c>
      <c r="AO314" s="28">
        <v>0.27</v>
      </c>
      <c r="AR314" s="28">
        <v>0.27500000000000002</v>
      </c>
      <c r="AU314" s="28">
        <v>0.28499999999999998</v>
      </c>
      <c r="AX314" s="28">
        <v>0</v>
      </c>
      <c r="BA314" s="28">
        <v>0</v>
      </c>
    </row>
    <row r="315" spans="1:53" s="28" customFormat="1" ht="21" x14ac:dyDescent="0.35">
      <c r="A315" s="1"/>
      <c r="B315" s="2"/>
      <c r="C315" s="2"/>
      <c r="D315" s="2"/>
      <c r="E315" s="2"/>
      <c r="F315" s="2"/>
      <c r="G315" s="2"/>
      <c r="H315" s="2"/>
      <c r="I315" s="40">
        <v>18540</v>
      </c>
      <c r="J315" s="39">
        <v>0.70945151500000003</v>
      </c>
      <c r="K315" s="28">
        <v>0.45</v>
      </c>
      <c r="N315" s="28">
        <v>0.62</v>
      </c>
      <c r="Q315" s="28">
        <v>0.39</v>
      </c>
      <c r="T315" s="28">
        <v>0.38</v>
      </c>
      <c r="W315" s="28">
        <v>0</v>
      </c>
      <c r="Z315" s="28">
        <v>0</v>
      </c>
      <c r="AC315" s="28">
        <v>0.56000000000000005</v>
      </c>
      <c r="AF315" s="28">
        <v>0.34</v>
      </c>
      <c r="AI315" s="28">
        <v>0.30499999999999999</v>
      </c>
      <c r="AL315" s="28">
        <v>0.51500000000000001</v>
      </c>
      <c r="AO315" s="28">
        <v>0.26</v>
      </c>
      <c r="AR315" s="28">
        <v>0.26500000000000001</v>
      </c>
      <c r="AU315" s="28">
        <v>0.27500000000000002</v>
      </c>
      <c r="AX315" s="28">
        <v>0</v>
      </c>
      <c r="BA315" s="28">
        <v>0</v>
      </c>
    </row>
    <row r="316" spans="1:53" s="28" customFormat="1" ht="21" x14ac:dyDescent="0.35">
      <c r="A316" s="1"/>
      <c r="B316" s="2"/>
      <c r="C316" s="2"/>
      <c r="D316" s="2"/>
      <c r="E316" s="2"/>
      <c r="F316" s="2"/>
      <c r="G316" s="2"/>
      <c r="H316" s="2"/>
      <c r="I316" s="40">
        <v>18600</v>
      </c>
      <c r="J316" s="39">
        <v>0.70460909100000002</v>
      </c>
      <c r="K316" s="28">
        <v>0.45</v>
      </c>
      <c r="N316" s="28">
        <v>0.62</v>
      </c>
      <c r="Q316" s="28">
        <v>0.38500000000000001</v>
      </c>
      <c r="T316" s="28">
        <v>0.37</v>
      </c>
      <c r="W316" s="28">
        <v>0</v>
      </c>
      <c r="Z316" s="28">
        <v>0</v>
      </c>
      <c r="AC316" s="28">
        <v>0.55000000000000004</v>
      </c>
      <c r="AF316" s="28">
        <v>0.33500000000000002</v>
      </c>
      <c r="AI316" s="28">
        <v>0.3</v>
      </c>
      <c r="AL316" s="28">
        <v>0.505</v>
      </c>
      <c r="AO316" s="28">
        <v>0.25</v>
      </c>
      <c r="AR316" s="28">
        <v>0.255</v>
      </c>
      <c r="AU316" s="28">
        <v>0.27</v>
      </c>
      <c r="AX316" s="28">
        <v>0</v>
      </c>
      <c r="BA316" s="28">
        <v>0</v>
      </c>
    </row>
    <row r="317" spans="1:53" s="28" customFormat="1" ht="21" x14ac:dyDescent="0.35">
      <c r="A317" s="1"/>
      <c r="B317" s="2"/>
      <c r="C317" s="2"/>
      <c r="D317" s="2"/>
      <c r="E317" s="2"/>
      <c r="F317" s="2"/>
      <c r="G317" s="2"/>
      <c r="H317" s="2"/>
      <c r="I317" s="40">
        <v>18660</v>
      </c>
      <c r="J317" s="39">
        <v>0.69970606099999999</v>
      </c>
      <c r="K317" s="28">
        <v>0.45</v>
      </c>
      <c r="N317" s="28">
        <v>0.61</v>
      </c>
      <c r="Q317" s="28">
        <v>0.38</v>
      </c>
      <c r="T317" s="28">
        <v>0.37</v>
      </c>
      <c r="W317" s="28">
        <v>0</v>
      </c>
      <c r="Z317" s="28">
        <v>0</v>
      </c>
      <c r="AC317" s="28">
        <v>0.55000000000000004</v>
      </c>
      <c r="AF317" s="28">
        <v>0.33</v>
      </c>
      <c r="AI317" s="28">
        <v>0.29499999999999998</v>
      </c>
      <c r="AL317" s="28">
        <v>0.495</v>
      </c>
      <c r="AO317" s="28">
        <v>0.24</v>
      </c>
      <c r="AR317" s="28">
        <v>0.245</v>
      </c>
      <c r="AU317" s="28">
        <v>0.26</v>
      </c>
      <c r="AX317" s="28">
        <v>0</v>
      </c>
      <c r="BA317" s="28">
        <v>0</v>
      </c>
    </row>
    <row r="318" spans="1:53" s="28" customFormat="1" ht="21" x14ac:dyDescent="0.35">
      <c r="A318" s="1"/>
      <c r="B318" s="2"/>
      <c r="C318" s="2"/>
      <c r="D318" s="2"/>
      <c r="E318" s="2"/>
      <c r="F318" s="2"/>
      <c r="G318" s="2"/>
      <c r="H318" s="2"/>
      <c r="I318" s="40">
        <v>18720</v>
      </c>
      <c r="J318" s="39">
        <v>0.69460909100000001</v>
      </c>
      <c r="K318" s="28">
        <v>0.45</v>
      </c>
      <c r="N318" s="28">
        <v>0.61</v>
      </c>
      <c r="Q318" s="28">
        <v>0.38</v>
      </c>
      <c r="T318" s="28">
        <v>0.36499999999999999</v>
      </c>
      <c r="W318" s="28">
        <v>0</v>
      </c>
      <c r="Z318" s="28">
        <v>0</v>
      </c>
      <c r="AC318" s="28">
        <v>0.54</v>
      </c>
      <c r="AF318" s="28">
        <v>0.32</v>
      </c>
      <c r="AI318" s="28">
        <v>0.28999999999999998</v>
      </c>
      <c r="AL318" s="28">
        <v>0.48499999999999999</v>
      </c>
      <c r="AO318" s="28">
        <v>0.23</v>
      </c>
      <c r="AR318" s="28">
        <v>0.24</v>
      </c>
      <c r="AU318" s="28">
        <v>0.25</v>
      </c>
      <c r="AX318" s="28">
        <v>0</v>
      </c>
      <c r="BA318" s="28">
        <v>0</v>
      </c>
    </row>
    <row r="319" spans="1:53" s="28" customFormat="1" ht="21" x14ac:dyDescent="0.35">
      <c r="A319" s="1"/>
      <c r="B319" s="2"/>
      <c r="C319" s="2"/>
      <c r="D319" s="2"/>
      <c r="E319" s="2"/>
      <c r="F319" s="2"/>
      <c r="G319" s="2"/>
      <c r="H319" s="2"/>
      <c r="I319" s="40">
        <v>18780</v>
      </c>
      <c r="J319" s="39">
        <v>0.68998787849999998</v>
      </c>
      <c r="K319" s="28">
        <v>0.45</v>
      </c>
      <c r="N319" s="28">
        <v>0.60499999999999998</v>
      </c>
      <c r="Q319" s="28">
        <v>0.37</v>
      </c>
      <c r="T319" s="28">
        <v>0.36</v>
      </c>
      <c r="W319" s="28">
        <v>0</v>
      </c>
      <c r="Z319" s="28">
        <v>0</v>
      </c>
      <c r="AC319" s="28">
        <v>0.53500000000000003</v>
      </c>
      <c r="AF319" s="28">
        <v>0.32</v>
      </c>
      <c r="AI319" s="28">
        <v>0.28000000000000003</v>
      </c>
      <c r="AL319" s="28">
        <v>0.48</v>
      </c>
      <c r="AO319" s="28">
        <v>0.22500000000000001</v>
      </c>
      <c r="AR319" s="28">
        <v>0.23</v>
      </c>
      <c r="AU319" s="28">
        <v>0.24</v>
      </c>
      <c r="AX319" s="28">
        <v>0</v>
      </c>
      <c r="BA319" s="28">
        <v>0</v>
      </c>
    </row>
    <row r="320" spans="1:53" s="28" customFormat="1" ht="21" x14ac:dyDescent="0.35">
      <c r="A320" s="1"/>
      <c r="B320" s="2"/>
      <c r="C320" s="2"/>
      <c r="D320" s="2"/>
      <c r="E320" s="2"/>
      <c r="F320" s="2"/>
      <c r="G320" s="2"/>
      <c r="H320" s="2"/>
      <c r="I320" s="40">
        <v>18840</v>
      </c>
      <c r="J320" s="39">
        <v>0.68550606049999996</v>
      </c>
      <c r="K320" s="28">
        <v>0.45</v>
      </c>
      <c r="N320" s="28">
        <v>0.6</v>
      </c>
      <c r="Q320" s="28">
        <v>0.37</v>
      </c>
      <c r="T320" s="28">
        <v>0.36</v>
      </c>
      <c r="W320" s="28">
        <v>0</v>
      </c>
      <c r="Z320" s="28">
        <v>0</v>
      </c>
      <c r="AC320" s="28">
        <v>0.53</v>
      </c>
      <c r="AF320" s="28">
        <v>0.31</v>
      </c>
      <c r="AI320" s="28">
        <v>0.28000000000000003</v>
      </c>
      <c r="AL320" s="28">
        <v>0.47</v>
      </c>
      <c r="AO320" s="28">
        <v>0.215</v>
      </c>
      <c r="AR320" s="28">
        <v>0.22</v>
      </c>
      <c r="AU320" s="28">
        <v>0.23</v>
      </c>
      <c r="AX320" s="28">
        <v>0</v>
      </c>
      <c r="BA320" s="28">
        <v>0</v>
      </c>
    </row>
    <row r="321" spans="1:53" s="28" customFormat="1" ht="21" x14ac:dyDescent="0.35">
      <c r="A321" s="1"/>
      <c r="B321" s="2"/>
      <c r="C321" s="2"/>
      <c r="D321" s="2"/>
      <c r="E321" s="2"/>
      <c r="F321" s="2"/>
      <c r="G321" s="2"/>
      <c r="H321" s="2"/>
      <c r="I321" s="40">
        <v>18900</v>
      </c>
      <c r="J321" s="39">
        <v>0.68189393949999999</v>
      </c>
      <c r="K321" s="28">
        <v>0.44</v>
      </c>
      <c r="N321" s="28">
        <v>0.6</v>
      </c>
      <c r="Q321" s="28">
        <v>0.36499999999999999</v>
      </c>
      <c r="T321" s="28">
        <v>0.35</v>
      </c>
      <c r="W321" s="28">
        <v>0</v>
      </c>
      <c r="Z321" s="28">
        <v>0</v>
      </c>
      <c r="AC321" s="28">
        <v>0.52</v>
      </c>
      <c r="AF321" s="28">
        <v>0.30499999999999999</v>
      </c>
      <c r="AI321" s="28">
        <v>0.27</v>
      </c>
      <c r="AL321" s="28">
        <v>0.46</v>
      </c>
      <c r="AO321" s="28">
        <v>0.20499999999999999</v>
      </c>
      <c r="AR321" s="28">
        <v>0.21</v>
      </c>
      <c r="AU321" s="28">
        <v>0.22</v>
      </c>
      <c r="AX321" s="28">
        <v>0</v>
      </c>
      <c r="BA321" s="28">
        <v>0</v>
      </c>
    </row>
    <row r="322" spans="1:53" s="28" customFormat="1" ht="21" x14ac:dyDescent="0.35">
      <c r="A322" s="1"/>
      <c r="B322" s="2"/>
      <c r="C322" s="2"/>
      <c r="D322" s="2"/>
      <c r="E322" s="2"/>
      <c r="F322" s="2"/>
      <c r="G322" s="2"/>
      <c r="H322" s="2"/>
      <c r="I322" s="40">
        <v>18960</v>
      </c>
      <c r="J322" s="39">
        <v>0.67694545449999999</v>
      </c>
      <c r="K322" s="28">
        <v>0.44</v>
      </c>
      <c r="N322" s="28">
        <v>0.59</v>
      </c>
      <c r="Q322" s="28">
        <v>0.36</v>
      </c>
      <c r="T322" s="28">
        <v>0.35</v>
      </c>
      <c r="W322" s="28">
        <v>0</v>
      </c>
      <c r="Z322" s="28">
        <v>0</v>
      </c>
      <c r="AC322" s="28">
        <v>0.52</v>
      </c>
      <c r="AF322" s="28">
        <v>0.3</v>
      </c>
      <c r="AI322" s="28">
        <v>0.26500000000000001</v>
      </c>
      <c r="AL322" s="28">
        <v>0.45</v>
      </c>
      <c r="AO322" s="28">
        <v>0.2</v>
      </c>
      <c r="AR322" s="28">
        <v>0.2</v>
      </c>
      <c r="AU322" s="28">
        <v>0.21</v>
      </c>
      <c r="AX322" s="28">
        <v>0</v>
      </c>
      <c r="BA322" s="28">
        <v>0</v>
      </c>
    </row>
    <row r="323" spans="1:53" s="28" customFormat="1" ht="21" x14ac:dyDescent="0.35">
      <c r="A323" s="1"/>
      <c r="B323" s="2"/>
      <c r="C323" s="2"/>
      <c r="D323" s="2"/>
      <c r="E323" s="2"/>
      <c r="F323" s="2"/>
      <c r="G323" s="2"/>
      <c r="H323" s="2"/>
      <c r="I323" s="40">
        <v>19020</v>
      </c>
      <c r="J323" s="39">
        <v>0.67173939400000005</v>
      </c>
      <c r="K323" s="28">
        <v>0.44</v>
      </c>
      <c r="N323" s="28">
        <v>0.59</v>
      </c>
      <c r="Q323" s="28">
        <v>0.36</v>
      </c>
      <c r="T323" s="28">
        <v>0.34499999999999997</v>
      </c>
      <c r="W323" s="28">
        <v>0</v>
      </c>
      <c r="Z323" s="28">
        <v>0</v>
      </c>
      <c r="AC323" s="28">
        <v>0.51</v>
      </c>
      <c r="AF323" s="28">
        <v>0.29499999999999998</v>
      </c>
      <c r="AI323" s="28">
        <v>0.26</v>
      </c>
      <c r="AL323" s="28">
        <v>0.44</v>
      </c>
      <c r="AO323" s="28">
        <v>0.19</v>
      </c>
      <c r="AR323" s="28">
        <v>0.19</v>
      </c>
      <c r="AU323" s="28">
        <v>0.2</v>
      </c>
      <c r="AX323" s="28">
        <v>0</v>
      </c>
      <c r="BA323" s="28">
        <v>0</v>
      </c>
    </row>
    <row r="324" spans="1:53" s="28" customFormat="1" ht="21" x14ac:dyDescent="0.35">
      <c r="A324" s="1"/>
      <c r="B324" s="2"/>
      <c r="C324" s="2"/>
      <c r="D324" s="2"/>
      <c r="E324" s="2"/>
      <c r="F324" s="2"/>
      <c r="G324" s="2"/>
      <c r="H324" s="2"/>
      <c r="I324" s="40">
        <v>19080</v>
      </c>
      <c r="J324" s="39">
        <v>0.66641212149999995</v>
      </c>
      <c r="K324" s="28">
        <v>0.44</v>
      </c>
      <c r="N324" s="28">
        <v>0.58499999999999996</v>
      </c>
      <c r="Q324" s="28">
        <v>0.35</v>
      </c>
      <c r="T324" s="28">
        <v>0.34</v>
      </c>
      <c r="W324" s="28">
        <v>0</v>
      </c>
      <c r="Z324" s="28">
        <v>0</v>
      </c>
      <c r="AC324" s="28">
        <v>0.505</v>
      </c>
      <c r="AF324" s="28">
        <v>0.28999999999999998</v>
      </c>
      <c r="AI324" s="28">
        <v>0.255</v>
      </c>
      <c r="AL324" s="28">
        <v>0.43</v>
      </c>
      <c r="AO324" s="28">
        <v>0.18</v>
      </c>
      <c r="AR324" s="28">
        <v>0.18</v>
      </c>
      <c r="AU324" s="28">
        <v>0.19</v>
      </c>
      <c r="AX324" s="28">
        <v>0</v>
      </c>
      <c r="BA324" s="28">
        <v>0</v>
      </c>
    </row>
    <row r="325" spans="1:53" s="28" customFormat="1" ht="21" x14ac:dyDescent="0.35">
      <c r="A325" s="1"/>
      <c r="B325" s="2"/>
      <c r="C325" s="2"/>
      <c r="D325" s="2"/>
      <c r="E325" s="2"/>
      <c r="F325" s="2"/>
      <c r="G325" s="2"/>
      <c r="H325" s="2"/>
      <c r="I325" s="40">
        <v>19140</v>
      </c>
      <c r="J325" s="39">
        <v>0.66112727250000003</v>
      </c>
      <c r="K325" s="28">
        <v>0.44</v>
      </c>
      <c r="N325" s="28">
        <v>0.57999999999999996</v>
      </c>
      <c r="Q325" s="28">
        <v>0.35</v>
      </c>
      <c r="T325" s="28">
        <v>0.34</v>
      </c>
      <c r="W325" s="28">
        <v>0</v>
      </c>
      <c r="Z325" s="28">
        <v>0</v>
      </c>
      <c r="AC325" s="28">
        <v>0.5</v>
      </c>
      <c r="AF325" s="28">
        <v>0.28000000000000003</v>
      </c>
      <c r="AI325" s="28">
        <v>0.25</v>
      </c>
      <c r="AL325" s="28">
        <v>0.42499999999999999</v>
      </c>
      <c r="AO325" s="28">
        <v>0.17</v>
      </c>
      <c r="AR325" s="28">
        <v>0.17</v>
      </c>
      <c r="AU325" s="28">
        <v>0.18</v>
      </c>
      <c r="AX325" s="28">
        <v>0</v>
      </c>
      <c r="BA325" s="28">
        <v>0</v>
      </c>
    </row>
    <row r="326" spans="1:53" s="28" customFormat="1" ht="21" x14ac:dyDescent="0.35">
      <c r="A326" s="1"/>
      <c r="B326" s="2"/>
      <c r="C326" s="2"/>
      <c r="D326" s="2"/>
      <c r="E326" s="2"/>
      <c r="F326" s="2"/>
      <c r="G326" s="2"/>
      <c r="H326" s="2"/>
      <c r="I326" s="40">
        <v>19200</v>
      </c>
      <c r="J326" s="39">
        <v>0.65591515150000002</v>
      </c>
      <c r="K326" s="28">
        <v>0.44</v>
      </c>
      <c r="N326" s="28">
        <v>0.57999999999999996</v>
      </c>
      <c r="Q326" s="28">
        <v>0.34</v>
      </c>
      <c r="T326" s="28">
        <v>0.33</v>
      </c>
      <c r="W326" s="28">
        <v>0</v>
      </c>
      <c r="Z326" s="28">
        <v>0</v>
      </c>
      <c r="AC326" s="28">
        <v>0.49</v>
      </c>
      <c r="AF326" s="28">
        <v>0.27500000000000002</v>
      </c>
      <c r="AI326" s="28">
        <v>0.24</v>
      </c>
      <c r="AL326" s="28">
        <v>0.41499999999999998</v>
      </c>
      <c r="AO326" s="28">
        <v>0.16</v>
      </c>
      <c r="AR326" s="28">
        <v>0.16</v>
      </c>
      <c r="AU326" s="28">
        <v>0.17</v>
      </c>
      <c r="AX326" s="28">
        <v>0</v>
      </c>
      <c r="BA326" s="28">
        <v>0</v>
      </c>
    </row>
    <row r="327" spans="1:53" s="28" customFormat="1" ht="21" x14ac:dyDescent="0.35">
      <c r="A327" s="1"/>
      <c r="B327" s="2"/>
      <c r="C327" s="2"/>
      <c r="D327" s="2"/>
      <c r="E327" s="2"/>
      <c r="F327" s="2"/>
      <c r="G327" s="2"/>
      <c r="H327" s="2"/>
      <c r="I327" s="40">
        <v>19260</v>
      </c>
      <c r="J327" s="39">
        <v>0.65065454550000001</v>
      </c>
      <c r="K327" s="28">
        <v>0.43</v>
      </c>
      <c r="N327" s="28">
        <v>0.56999999999999995</v>
      </c>
      <c r="Q327" s="28">
        <v>0.34</v>
      </c>
      <c r="T327" s="28">
        <v>0.33</v>
      </c>
      <c r="W327" s="28">
        <v>0</v>
      </c>
      <c r="Z327" s="28">
        <v>0</v>
      </c>
      <c r="AC327" s="28">
        <v>0.49</v>
      </c>
      <c r="AF327" s="28">
        <v>0.27</v>
      </c>
      <c r="AI327" s="28">
        <v>0.23499999999999999</v>
      </c>
      <c r="AL327" s="28">
        <v>0.40500000000000003</v>
      </c>
      <c r="AO327" s="28">
        <v>0.155</v>
      </c>
      <c r="AR327" s="28">
        <v>0.15</v>
      </c>
      <c r="AU327" s="28">
        <v>0.16</v>
      </c>
      <c r="AX327" s="28">
        <v>0</v>
      </c>
      <c r="BA327" s="28">
        <v>0</v>
      </c>
    </row>
    <row r="328" spans="1:53" s="28" customFormat="1" ht="21" x14ac:dyDescent="0.35">
      <c r="A328" s="1"/>
      <c r="B328" s="2"/>
      <c r="C328" s="2"/>
      <c r="D328" s="2"/>
      <c r="E328" s="2"/>
      <c r="F328" s="2"/>
      <c r="G328" s="2"/>
      <c r="H328" s="2"/>
      <c r="I328" s="40">
        <v>19320</v>
      </c>
      <c r="J328" s="39">
        <v>0.64591818199999995</v>
      </c>
      <c r="K328" s="28">
        <v>0.43</v>
      </c>
      <c r="N328" s="28">
        <v>0.56999999999999995</v>
      </c>
      <c r="Q328" s="28">
        <v>0.33</v>
      </c>
      <c r="T328" s="28">
        <v>0.32</v>
      </c>
      <c r="W328" s="28">
        <v>0</v>
      </c>
      <c r="Z328" s="28">
        <v>5.0000000000000001E-3</v>
      </c>
      <c r="AC328" s="28">
        <v>0.48</v>
      </c>
      <c r="AF328" s="28">
        <v>0.26</v>
      </c>
      <c r="AI328" s="28">
        <v>0.23</v>
      </c>
      <c r="AL328" s="28">
        <v>0.39500000000000002</v>
      </c>
      <c r="AO328" s="28">
        <v>0.14499999999999999</v>
      </c>
      <c r="AR328" s="28">
        <v>0.14000000000000001</v>
      </c>
      <c r="AU328" s="28">
        <v>0.15</v>
      </c>
      <c r="AX328" s="28">
        <v>0</v>
      </c>
      <c r="BA328" s="28">
        <v>0</v>
      </c>
    </row>
    <row r="329" spans="1:53" s="28" customFormat="1" ht="21" x14ac:dyDescent="0.35">
      <c r="A329" s="1"/>
      <c r="B329" s="2"/>
      <c r="C329" s="2"/>
      <c r="D329" s="2"/>
      <c r="E329" s="2"/>
      <c r="F329" s="2"/>
      <c r="G329" s="2"/>
      <c r="H329" s="2"/>
      <c r="I329" s="40">
        <v>19380</v>
      </c>
      <c r="J329" s="39">
        <v>0.64076969699999997</v>
      </c>
      <c r="K329" s="28">
        <v>0.43</v>
      </c>
      <c r="N329" s="28">
        <v>0.56000000000000005</v>
      </c>
      <c r="Q329" s="28">
        <v>0.33</v>
      </c>
      <c r="T329" s="28">
        <v>0.32</v>
      </c>
      <c r="W329" s="28">
        <v>5.0000000000000001E-3</v>
      </c>
      <c r="Z329" s="28">
        <v>0.01</v>
      </c>
      <c r="AC329" s="28">
        <v>0.47499999999999998</v>
      </c>
      <c r="AF329" s="28">
        <v>0.255</v>
      </c>
      <c r="AI329" s="28">
        <v>0.22</v>
      </c>
      <c r="AL329" s="28">
        <v>0.38500000000000001</v>
      </c>
      <c r="AO329" s="28">
        <v>0.13500000000000001</v>
      </c>
      <c r="AR329" s="28">
        <v>0.13500000000000001</v>
      </c>
      <c r="AU329" s="28">
        <v>0.14499999999999999</v>
      </c>
      <c r="AX329" s="28">
        <v>0</v>
      </c>
      <c r="BA329" s="28">
        <v>0</v>
      </c>
    </row>
    <row r="330" spans="1:53" s="28" customFormat="1" ht="21" x14ac:dyDescent="0.35">
      <c r="A330" s="1"/>
      <c r="B330" s="2"/>
      <c r="C330" s="2"/>
      <c r="D330" s="2"/>
      <c r="E330" s="2"/>
      <c r="F330" s="2"/>
      <c r="G330" s="2"/>
      <c r="H330" s="2"/>
      <c r="I330" s="40">
        <v>19440</v>
      </c>
      <c r="J330" s="39">
        <v>0.63594848500000001</v>
      </c>
      <c r="K330" s="28">
        <v>0.43</v>
      </c>
      <c r="N330" s="28">
        <v>0.56000000000000005</v>
      </c>
      <c r="Q330" s="28">
        <v>0.32</v>
      </c>
      <c r="T330" s="28">
        <v>0.31</v>
      </c>
      <c r="W330" s="28">
        <v>0.01</v>
      </c>
      <c r="Z330" s="28">
        <v>0.01</v>
      </c>
      <c r="AC330" s="28">
        <v>0.47</v>
      </c>
      <c r="AF330" s="28">
        <v>0.25</v>
      </c>
      <c r="AI330" s="28">
        <v>0.22</v>
      </c>
      <c r="AL330" s="28">
        <v>0.375</v>
      </c>
      <c r="AO330" s="28">
        <v>0.125</v>
      </c>
      <c r="AR330" s="28">
        <v>0.125</v>
      </c>
      <c r="AU330" s="28">
        <v>0.13500000000000001</v>
      </c>
      <c r="AX330" s="28">
        <v>0</v>
      </c>
      <c r="BA330" s="28">
        <v>0</v>
      </c>
    </row>
    <row r="331" spans="1:53" s="28" customFormat="1" ht="21" x14ac:dyDescent="0.35">
      <c r="A331" s="1"/>
      <c r="B331" s="2"/>
      <c r="C331" s="2"/>
      <c r="D331" s="2"/>
      <c r="E331" s="2"/>
      <c r="F331" s="2"/>
      <c r="G331" s="2"/>
      <c r="H331" s="2"/>
      <c r="I331" s="40">
        <v>19500</v>
      </c>
      <c r="J331" s="39">
        <v>0.62947878749999997</v>
      </c>
      <c r="K331" s="28">
        <v>0.43</v>
      </c>
      <c r="N331" s="28">
        <v>0.55000000000000004</v>
      </c>
      <c r="Q331" s="28">
        <v>0.32</v>
      </c>
      <c r="T331" s="28">
        <v>0.31</v>
      </c>
      <c r="W331" s="28">
        <v>0.01</v>
      </c>
      <c r="Z331" s="28">
        <v>0.01</v>
      </c>
      <c r="AC331" s="28">
        <v>0.46</v>
      </c>
      <c r="AF331" s="28">
        <v>0.245</v>
      </c>
      <c r="AI331" s="28">
        <v>0.21</v>
      </c>
      <c r="AL331" s="28">
        <v>0.36499999999999999</v>
      </c>
      <c r="AO331" s="28">
        <v>0.115</v>
      </c>
      <c r="AR331" s="28">
        <v>0.115</v>
      </c>
      <c r="AU331" s="28">
        <v>0.125</v>
      </c>
      <c r="AX331" s="28">
        <v>0</v>
      </c>
      <c r="BA331" s="28">
        <v>5.0000000000000001E-3</v>
      </c>
    </row>
    <row r="332" spans="1:53" s="28" customFormat="1" ht="21" x14ac:dyDescent="0.35">
      <c r="A332" s="1"/>
      <c r="B332" s="2"/>
      <c r="C332" s="2"/>
      <c r="D332" s="2"/>
      <c r="E332" s="2"/>
      <c r="F332" s="2"/>
      <c r="G332" s="2"/>
      <c r="H332" s="2"/>
      <c r="I332" s="40">
        <v>19560</v>
      </c>
      <c r="J332" s="39">
        <v>0.62460000000000004</v>
      </c>
      <c r="K332" s="28">
        <v>0.42499999999999999</v>
      </c>
      <c r="N332" s="28">
        <v>0.55000000000000004</v>
      </c>
      <c r="Q332" s="28">
        <v>0.31</v>
      </c>
      <c r="T332" s="28">
        <v>0.3</v>
      </c>
      <c r="W332" s="28">
        <v>0.01</v>
      </c>
      <c r="Z332" s="28">
        <v>0.01</v>
      </c>
      <c r="AC332" s="28">
        <v>0.45500000000000002</v>
      </c>
      <c r="AF332" s="28">
        <v>0.24</v>
      </c>
      <c r="AI332" s="28">
        <v>0.20499999999999999</v>
      </c>
      <c r="AL332" s="28">
        <v>0.35499999999999998</v>
      </c>
      <c r="AO332" s="28">
        <v>0.105</v>
      </c>
      <c r="AR332" s="28">
        <v>0.105</v>
      </c>
      <c r="AU332" s="28">
        <v>0.115</v>
      </c>
      <c r="AX332" s="28">
        <v>0</v>
      </c>
      <c r="BA332" s="28">
        <v>0.01</v>
      </c>
    </row>
    <row r="333" spans="1:53" s="28" customFormat="1" ht="21" x14ac:dyDescent="0.35">
      <c r="A333" s="1"/>
      <c r="B333" s="2"/>
      <c r="C333" s="2"/>
      <c r="D333" s="2"/>
      <c r="E333" s="2"/>
      <c r="F333" s="2"/>
      <c r="G333" s="2"/>
      <c r="H333" s="2"/>
      <c r="I333" s="40">
        <v>19620</v>
      </c>
      <c r="J333" s="39">
        <v>0.61937575749999996</v>
      </c>
      <c r="K333" s="28">
        <v>0.42</v>
      </c>
      <c r="N333" s="28">
        <v>0.54</v>
      </c>
      <c r="Q333" s="28">
        <v>0.31</v>
      </c>
      <c r="T333" s="28">
        <v>0.3</v>
      </c>
      <c r="W333" s="28">
        <v>0.01</v>
      </c>
      <c r="Z333" s="28">
        <v>0.01</v>
      </c>
      <c r="AC333" s="28">
        <v>0.45</v>
      </c>
      <c r="AF333" s="28">
        <v>0.23</v>
      </c>
      <c r="AI333" s="28">
        <v>0.2</v>
      </c>
      <c r="AL333" s="28">
        <v>0.34499999999999997</v>
      </c>
      <c r="AO333" s="28">
        <v>9.5000000000000001E-2</v>
      </c>
      <c r="AR333" s="28">
        <v>9.5000000000000001E-2</v>
      </c>
      <c r="AU333" s="28">
        <v>0.11</v>
      </c>
      <c r="AX333" s="28">
        <v>0</v>
      </c>
      <c r="BA333" s="28">
        <v>0.01</v>
      </c>
    </row>
    <row r="334" spans="1:53" s="28" customFormat="1" ht="21" x14ac:dyDescent="0.35">
      <c r="A334" s="1"/>
      <c r="B334" s="2"/>
      <c r="C334" s="2"/>
      <c r="D334" s="2"/>
      <c r="E334" s="2"/>
      <c r="F334" s="2"/>
      <c r="G334" s="2"/>
      <c r="H334" s="2"/>
      <c r="I334" s="40">
        <v>19680</v>
      </c>
      <c r="J334" s="39">
        <v>0.61447878749999996</v>
      </c>
      <c r="K334" s="28">
        <v>0.42</v>
      </c>
      <c r="N334" s="28">
        <v>0.54</v>
      </c>
      <c r="Q334" s="28">
        <v>0.3</v>
      </c>
      <c r="T334" s="28">
        <v>0.28999999999999998</v>
      </c>
      <c r="W334" s="28">
        <v>0.01</v>
      </c>
      <c r="Z334" s="28">
        <v>0.01</v>
      </c>
      <c r="AC334" s="28">
        <v>0.44</v>
      </c>
      <c r="AF334" s="28">
        <v>0.22500000000000001</v>
      </c>
      <c r="AI334" s="28">
        <v>0.19</v>
      </c>
      <c r="AL334" s="28">
        <v>0.33500000000000002</v>
      </c>
      <c r="AO334" s="28">
        <v>0.09</v>
      </c>
      <c r="AR334" s="28">
        <v>8.5000000000000006E-2</v>
      </c>
      <c r="AU334" s="28">
        <v>0.1</v>
      </c>
      <c r="AX334" s="28">
        <v>0</v>
      </c>
      <c r="BA334" s="28">
        <v>0.01</v>
      </c>
    </row>
    <row r="335" spans="1:53" s="28" customFormat="1" ht="21" x14ac:dyDescent="0.35">
      <c r="A335" s="1"/>
      <c r="B335" s="2"/>
      <c r="C335" s="2"/>
      <c r="D335" s="2"/>
      <c r="E335" s="2"/>
      <c r="F335" s="2"/>
      <c r="G335" s="2"/>
      <c r="H335" s="2"/>
      <c r="I335" s="40">
        <v>19740</v>
      </c>
      <c r="J335" s="39">
        <v>0.60888181799999996</v>
      </c>
      <c r="K335" s="28">
        <v>0.42</v>
      </c>
      <c r="N335" s="28">
        <v>0.53</v>
      </c>
      <c r="Q335" s="28">
        <v>0.29499999999999998</v>
      </c>
      <c r="T335" s="28">
        <v>0.28999999999999998</v>
      </c>
      <c r="W335" s="28">
        <v>0.01</v>
      </c>
      <c r="Z335" s="28">
        <v>0.01</v>
      </c>
      <c r="AC335" s="28">
        <v>0.435</v>
      </c>
      <c r="AF335" s="28">
        <v>0.22</v>
      </c>
      <c r="AI335" s="28">
        <v>0.185</v>
      </c>
      <c r="AL335" s="28">
        <v>0.32500000000000001</v>
      </c>
      <c r="AO335" s="28">
        <v>0.08</v>
      </c>
      <c r="AR335" s="28">
        <v>7.4999999999999997E-2</v>
      </c>
      <c r="AU335" s="28">
        <v>0.09</v>
      </c>
      <c r="AX335" s="28">
        <v>0</v>
      </c>
      <c r="BA335" s="28">
        <v>0.01</v>
      </c>
    </row>
    <row r="336" spans="1:53" s="28" customFormat="1" ht="21" x14ac:dyDescent="0.35">
      <c r="A336" s="1"/>
      <c r="B336" s="2"/>
      <c r="C336" s="2"/>
      <c r="D336" s="2"/>
      <c r="E336" s="2"/>
      <c r="F336" s="2"/>
      <c r="G336" s="2"/>
      <c r="H336" s="2"/>
      <c r="I336" s="40">
        <v>19800</v>
      </c>
      <c r="J336" s="39">
        <v>0.60246969699999997</v>
      </c>
      <c r="K336" s="28">
        <v>0.42</v>
      </c>
      <c r="N336" s="28">
        <v>0.53</v>
      </c>
      <c r="Q336" s="28">
        <v>0.28999999999999998</v>
      </c>
      <c r="T336" s="28">
        <v>0.28000000000000003</v>
      </c>
      <c r="W336" s="28">
        <v>0.01</v>
      </c>
      <c r="Z336" s="28">
        <v>0.01</v>
      </c>
      <c r="AC336" s="28">
        <v>0.43</v>
      </c>
      <c r="AF336" s="28">
        <v>0.21</v>
      </c>
      <c r="AI336" s="28">
        <v>0.18</v>
      </c>
      <c r="AL336" s="28">
        <v>0.315</v>
      </c>
      <c r="AO336" s="28">
        <v>7.0000000000000007E-2</v>
      </c>
      <c r="AR336" s="28">
        <v>6.5000000000000002E-2</v>
      </c>
      <c r="AU336" s="28">
        <v>0.08</v>
      </c>
      <c r="AX336" s="28">
        <v>0</v>
      </c>
      <c r="BA336" s="28">
        <v>0.01</v>
      </c>
    </row>
    <row r="337" spans="1:53" s="28" customFormat="1" ht="21" x14ac:dyDescent="0.35">
      <c r="A337" s="1"/>
      <c r="B337" s="2"/>
      <c r="C337" s="2"/>
      <c r="D337" s="2"/>
      <c r="E337" s="2"/>
      <c r="F337" s="2"/>
      <c r="G337" s="2"/>
      <c r="H337" s="2"/>
      <c r="I337" s="40">
        <v>19860</v>
      </c>
      <c r="J337" s="39">
        <v>0.59664545449999995</v>
      </c>
      <c r="K337" s="28">
        <v>0.41</v>
      </c>
      <c r="N337" s="28">
        <v>0.52</v>
      </c>
      <c r="Q337" s="28">
        <v>0.28499999999999998</v>
      </c>
      <c r="T337" s="28">
        <v>0.28000000000000003</v>
      </c>
      <c r="W337" s="28">
        <v>0.01</v>
      </c>
      <c r="Z337" s="28">
        <v>0.01</v>
      </c>
      <c r="AC337" s="28">
        <v>0.42</v>
      </c>
      <c r="AF337" s="28">
        <v>0.2</v>
      </c>
      <c r="AI337" s="28">
        <v>0.17</v>
      </c>
      <c r="AL337" s="28">
        <v>0.30499999999999999</v>
      </c>
      <c r="AO337" s="28">
        <v>0.06</v>
      </c>
      <c r="AR337" s="28">
        <v>0.06</v>
      </c>
      <c r="AU337" s="28">
        <v>7.4999999999999997E-2</v>
      </c>
      <c r="AX337" s="28">
        <v>0</v>
      </c>
      <c r="BA337" s="28">
        <v>0.01</v>
      </c>
    </row>
    <row r="338" spans="1:53" s="28" customFormat="1" ht="21" x14ac:dyDescent="0.35">
      <c r="A338" s="1"/>
      <c r="B338" s="2"/>
      <c r="C338" s="2"/>
      <c r="D338" s="2"/>
      <c r="E338" s="2"/>
      <c r="F338" s="2"/>
      <c r="G338" s="2"/>
      <c r="H338" s="2"/>
      <c r="I338" s="40">
        <v>19920</v>
      </c>
      <c r="J338" s="39">
        <v>0.59019090949999997</v>
      </c>
      <c r="K338" s="28">
        <v>0.41</v>
      </c>
      <c r="N338" s="28">
        <v>0.51500000000000001</v>
      </c>
      <c r="Q338" s="28">
        <v>0.28000000000000003</v>
      </c>
      <c r="T338" s="28">
        <v>0.27</v>
      </c>
      <c r="W338" s="28">
        <v>0.01</v>
      </c>
      <c r="Z338" s="28">
        <v>0.01</v>
      </c>
      <c r="AC338" s="28">
        <v>0.41499999999999998</v>
      </c>
      <c r="AF338" s="28">
        <v>0.19500000000000001</v>
      </c>
      <c r="AI338" s="28">
        <v>0.16500000000000001</v>
      </c>
      <c r="AL338" s="28">
        <v>0.29499999999999998</v>
      </c>
      <c r="AO338" s="28">
        <v>0.05</v>
      </c>
      <c r="AR338" s="28">
        <v>0.05</v>
      </c>
      <c r="AU338" s="28">
        <v>6.5000000000000002E-2</v>
      </c>
      <c r="AX338" s="28">
        <v>0</v>
      </c>
      <c r="BA338" s="28">
        <v>0.01</v>
      </c>
    </row>
    <row r="339" spans="1:53" s="28" customFormat="1" ht="21" x14ac:dyDescent="0.35">
      <c r="A339" s="1"/>
      <c r="B339" s="2"/>
      <c r="C339" s="2"/>
      <c r="D339" s="2"/>
      <c r="E339" s="2"/>
      <c r="F339" s="2"/>
      <c r="G339" s="2"/>
      <c r="H339" s="2"/>
      <c r="I339" s="40">
        <v>19980</v>
      </c>
      <c r="J339" s="39">
        <v>0.58427575750000005</v>
      </c>
      <c r="K339" s="28">
        <v>0.41</v>
      </c>
      <c r="N339" s="28">
        <v>0.51</v>
      </c>
      <c r="Q339" s="28">
        <v>0.27500000000000002</v>
      </c>
      <c r="T339" s="28">
        <v>0.26500000000000001</v>
      </c>
      <c r="W339" s="28">
        <v>0.01</v>
      </c>
      <c r="Z339" s="28">
        <v>0.01</v>
      </c>
      <c r="AC339" s="28">
        <v>0.40500000000000003</v>
      </c>
      <c r="AF339" s="28">
        <v>0.19</v>
      </c>
      <c r="AI339" s="28">
        <v>0.16</v>
      </c>
      <c r="AL339" s="28">
        <v>0.28999999999999998</v>
      </c>
      <c r="AO339" s="28">
        <v>0.04</v>
      </c>
      <c r="AR339" s="28">
        <v>0.04</v>
      </c>
      <c r="AU339" s="28">
        <v>0.06</v>
      </c>
      <c r="AX339" s="28">
        <v>0</v>
      </c>
      <c r="BA339" s="28">
        <v>0.01</v>
      </c>
    </row>
    <row r="340" spans="1:53" s="28" customFormat="1" ht="21" x14ac:dyDescent="0.35">
      <c r="A340" s="1"/>
      <c r="B340" s="2"/>
      <c r="C340" s="2"/>
      <c r="D340" s="2"/>
      <c r="E340" s="2"/>
      <c r="F340" s="2"/>
      <c r="G340" s="2"/>
      <c r="H340" s="2"/>
      <c r="I340" s="40">
        <v>20040</v>
      </c>
      <c r="J340" s="39">
        <v>0.57809090900000004</v>
      </c>
      <c r="K340" s="28">
        <v>0.41</v>
      </c>
      <c r="N340" s="28">
        <v>0.505</v>
      </c>
      <c r="Q340" s="28">
        <v>0.27</v>
      </c>
      <c r="T340" s="28">
        <v>0.26</v>
      </c>
      <c r="W340" s="28">
        <v>0.01</v>
      </c>
      <c r="Z340" s="28">
        <v>0.01</v>
      </c>
      <c r="AC340" s="28">
        <v>0.4</v>
      </c>
      <c r="AF340" s="28">
        <v>0.18</v>
      </c>
      <c r="AI340" s="28">
        <v>0.15</v>
      </c>
      <c r="AL340" s="28">
        <v>0.28000000000000003</v>
      </c>
      <c r="AO340" s="28">
        <v>0.03</v>
      </c>
      <c r="AR340" s="28">
        <v>0.03</v>
      </c>
      <c r="AU340" s="28">
        <v>0.05</v>
      </c>
      <c r="AX340" s="28">
        <v>0</v>
      </c>
      <c r="BA340" s="28">
        <v>0.01</v>
      </c>
    </row>
    <row r="341" spans="1:53" s="28" customFormat="1" ht="21" x14ac:dyDescent="0.35">
      <c r="A341" s="1"/>
      <c r="B341" s="2"/>
      <c r="C341" s="2"/>
      <c r="D341" s="2"/>
      <c r="E341" s="2"/>
      <c r="F341" s="2"/>
      <c r="G341" s="2"/>
      <c r="H341" s="2"/>
      <c r="I341" s="40">
        <v>20100</v>
      </c>
      <c r="J341" s="39">
        <v>0.57145454549999997</v>
      </c>
      <c r="K341" s="28">
        <v>0.4</v>
      </c>
      <c r="N341" s="28">
        <v>0.5</v>
      </c>
      <c r="Q341" s="28">
        <v>0.26</v>
      </c>
      <c r="T341" s="28">
        <v>0.255</v>
      </c>
      <c r="W341" s="28">
        <v>0.01</v>
      </c>
      <c r="Z341" s="28">
        <v>0.01</v>
      </c>
      <c r="AC341" s="28">
        <v>0.39</v>
      </c>
      <c r="AF341" s="28">
        <v>0.17499999999999999</v>
      </c>
      <c r="AI341" s="28">
        <v>0.14499999999999999</v>
      </c>
      <c r="AL341" s="28">
        <v>0.27</v>
      </c>
      <c r="AO341" s="28">
        <v>2.5000000000000001E-2</v>
      </c>
      <c r="AR341" s="28">
        <v>2.5000000000000001E-2</v>
      </c>
      <c r="AU341" s="28">
        <v>0.04</v>
      </c>
      <c r="AX341" s="28">
        <v>0</v>
      </c>
      <c r="BA341" s="28">
        <v>0.01</v>
      </c>
    </row>
    <row r="342" spans="1:53" s="28" customFormat="1" ht="21" x14ac:dyDescent="0.35">
      <c r="A342" s="1"/>
      <c r="B342" s="2"/>
      <c r="C342" s="2"/>
      <c r="D342" s="2"/>
      <c r="E342" s="2"/>
      <c r="F342" s="2"/>
      <c r="G342" s="2"/>
      <c r="H342" s="2"/>
      <c r="I342" s="40">
        <v>20160</v>
      </c>
      <c r="J342" s="39">
        <v>0.56800303050000001</v>
      </c>
      <c r="K342" s="28">
        <v>0.4</v>
      </c>
      <c r="N342" s="28">
        <v>0.5</v>
      </c>
      <c r="Q342" s="28">
        <v>0.26</v>
      </c>
      <c r="T342" s="28">
        <v>0.25</v>
      </c>
      <c r="W342" s="28">
        <v>0.01</v>
      </c>
      <c r="Z342" s="28">
        <v>0.01</v>
      </c>
      <c r="AC342" s="28">
        <v>0.39</v>
      </c>
      <c r="AF342" s="28">
        <v>0.17</v>
      </c>
      <c r="AI342" s="28">
        <v>0.14000000000000001</v>
      </c>
      <c r="AL342" s="28">
        <v>0.26500000000000001</v>
      </c>
      <c r="AO342" s="28">
        <v>1.4999999999999999E-2</v>
      </c>
      <c r="AR342" s="28">
        <v>1.4999999999999999E-2</v>
      </c>
      <c r="AU342" s="28">
        <v>3.5000000000000003E-2</v>
      </c>
      <c r="AX342" s="28">
        <v>5.0000000000000001E-3</v>
      </c>
      <c r="BA342" s="28">
        <v>0.01</v>
      </c>
    </row>
    <row r="343" spans="1:53" s="28" customFormat="1" ht="21" x14ac:dyDescent="0.35">
      <c r="A343" s="1"/>
      <c r="B343" s="2"/>
      <c r="C343" s="2"/>
      <c r="D343" s="2"/>
      <c r="E343" s="2"/>
      <c r="F343" s="2"/>
      <c r="G343" s="2"/>
      <c r="H343" s="2"/>
      <c r="I343" s="40">
        <v>20220</v>
      </c>
      <c r="J343" s="39">
        <v>0.60219696950000001</v>
      </c>
      <c r="K343" s="28">
        <v>0.41</v>
      </c>
      <c r="N343" s="28">
        <v>0.51</v>
      </c>
      <c r="Q343" s="28">
        <v>0.27</v>
      </c>
      <c r="T343" s="28">
        <v>0.26</v>
      </c>
      <c r="W343" s="28">
        <v>0.01</v>
      </c>
      <c r="Z343" s="28">
        <v>0.01</v>
      </c>
      <c r="AC343" s="28">
        <v>0.39500000000000002</v>
      </c>
      <c r="AF343" s="28">
        <v>0.17</v>
      </c>
      <c r="AI343" s="28">
        <v>0.14000000000000001</v>
      </c>
      <c r="AL343" s="28">
        <v>0.26</v>
      </c>
      <c r="AO343" s="28">
        <v>0.01</v>
      </c>
      <c r="AR343" s="28">
        <v>0.01</v>
      </c>
      <c r="AU343" s="28">
        <v>0.03</v>
      </c>
      <c r="AX343" s="28">
        <v>0.01</v>
      </c>
      <c r="BA343" s="28">
        <v>0.01</v>
      </c>
    </row>
    <row r="344" spans="1:53" s="28" customFormat="1" ht="21" x14ac:dyDescent="0.35">
      <c r="A344" s="1"/>
      <c r="B344" s="2"/>
      <c r="C344" s="2"/>
      <c r="D344" s="2"/>
      <c r="E344" s="2"/>
      <c r="F344" s="2"/>
      <c r="G344" s="2"/>
      <c r="H344" s="2"/>
      <c r="I344" s="40">
        <v>20280</v>
      </c>
      <c r="J344" s="39">
        <v>0.67574848499999995</v>
      </c>
      <c r="K344" s="28">
        <v>0.41499999999999998</v>
      </c>
      <c r="N344" s="28">
        <v>0.52500000000000002</v>
      </c>
      <c r="Q344" s="28">
        <v>0.28499999999999998</v>
      </c>
      <c r="T344" s="28">
        <v>0.27500000000000002</v>
      </c>
      <c r="W344" s="28">
        <v>0.01</v>
      </c>
      <c r="Z344" s="28">
        <v>0.01</v>
      </c>
      <c r="AC344" s="28">
        <v>0.40500000000000003</v>
      </c>
      <c r="AF344" s="28">
        <v>0.185</v>
      </c>
      <c r="AI344" s="28">
        <v>0.15</v>
      </c>
      <c r="AL344" s="28">
        <v>0.27</v>
      </c>
      <c r="AO344" s="28">
        <v>1.4999999999999999E-2</v>
      </c>
      <c r="AR344" s="28">
        <v>1.4999999999999999E-2</v>
      </c>
      <c r="AU344" s="28">
        <v>0.03</v>
      </c>
      <c r="AX344" s="28">
        <v>0.01</v>
      </c>
      <c r="BA344" s="28">
        <v>0.01</v>
      </c>
    </row>
    <row r="345" spans="1:53" s="28" customFormat="1" ht="21" x14ac:dyDescent="0.35">
      <c r="A345" s="1"/>
      <c r="B345" s="2"/>
      <c r="C345" s="2"/>
      <c r="D345" s="2"/>
      <c r="E345" s="2"/>
      <c r="F345" s="2"/>
      <c r="G345" s="2"/>
      <c r="H345" s="2"/>
      <c r="I345" s="40">
        <v>20340</v>
      </c>
      <c r="J345" s="39">
        <v>0.7475545455</v>
      </c>
      <c r="K345" s="28">
        <v>0.42</v>
      </c>
      <c r="N345" s="28">
        <v>0.54500000000000004</v>
      </c>
      <c r="Q345" s="28">
        <v>0.29499999999999998</v>
      </c>
      <c r="T345" s="28">
        <v>0.29499999999999998</v>
      </c>
      <c r="W345" s="28">
        <v>0.01</v>
      </c>
      <c r="Z345" s="28">
        <v>0.01</v>
      </c>
      <c r="AC345" s="28">
        <v>0.42499999999999999</v>
      </c>
      <c r="AF345" s="28">
        <v>0.19500000000000001</v>
      </c>
      <c r="AI345" s="28">
        <v>0.16500000000000001</v>
      </c>
      <c r="AL345" s="28">
        <v>0.28499999999999998</v>
      </c>
      <c r="AO345" s="28">
        <v>2.5000000000000001E-2</v>
      </c>
      <c r="AR345" s="28">
        <v>2.5000000000000001E-2</v>
      </c>
      <c r="AU345" s="28">
        <v>3.5000000000000003E-2</v>
      </c>
      <c r="AX345" s="28">
        <v>0.01</v>
      </c>
      <c r="BA345" s="28">
        <v>0.01</v>
      </c>
    </row>
    <row r="346" spans="1:53" s="28" customFormat="1" ht="21" x14ac:dyDescent="0.35">
      <c r="A346" s="1"/>
      <c r="B346" s="2"/>
      <c r="C346" s="2"/>
      <c r="D346" s="2"/>
      <c r="E346" s="2"/>
      <c r="F346" s="2"/>
      <c r="G346" s="2"/>
      <c r="H346" s="2"/>
      <c r="I346" s="40">
        <v>20400</v>
      </c>
      <c r="J346" s="39">
        <v>0.76580303000000005</v>
      </c>
      <c r="K346" s="28">
        <v>0.43</v>
      </c>
      <c r="N346" s="28">
        <v>0.56000000000000005</v>
      </c>
      <c r="Q346" s="28">
        <v>0.315</v>
      </c>
      <c r="T346" s="28">
        <v>0.315</v>
      </c>
      <c r="W346" s="28">
        <v>0.01</v>
      </c>
      <c r="Z346" s="28">
        <v>0.01</v>
      </c>
      <c r="AC346" s="28">
        <v>0.44500000000000001</v>
      </c>
      <c r="AF346" s="28">
        <v>0.215</v>
      </c>
      <c r="AI346" s="28">
        <v>0.185</v>
      </c>
      <c r="AL346" s="28">
        <v>0.3</v>
      </c>
      <c r="AO346" s="28">
        <v>0.04</v>
      </c>
      <c r="AR346" s="28">
        <v>4.4999999999999998E-2</v>
      </c>
      <c r="AU346" s="28">
        <v>5.5E-2</v>
      </c>
      <c r="AX346" s="28">
        <v>0</v>
      </c>
      <c r="BA346" s="28">
        <v>0.01</v>
      </c>
    </row>
    <row r="347" spans="1:53" s="28" customFormat="1" ht="21" x14ac:dyDescent="0.35">
      <c r="A347" s="1"/>
      <c r="B347" s="2"/>
      <c r="C347" s="2"/>
      <c r="D347" s="2"/>
      <c r="E347" s="2"/>
      <c r="F347" s="2"/>
      <c r="G347" s="2"/>
      <c r="H347" s="2"/>
      <c r="I347" s="40">
        <v>20460</v>
      </c>
      <c r="J347" s="39">
        <v>0.76386666650000001</v>
      </c>
      <c r="K347" s="28">
        <v>0.43</v>
      </c>
      <c r="N347" s="28">
        <v>0.56999999999999995</v>
      </c>
      <c r="Q347" s="28">
        <v>0.32500000000000001</v>
      </c>
      <c r="T347" s="28">
        <v>0.32500000000000001</v>
      </c>
      <c r="W347" s="28">
        <v>0.01</v>
      </c>
      <c r="Z347" s="28">
        <v>0.01</v>
      </c>
      <c r="AC347" s="28">
        <v>0.46500000000000002</v>
      </c>
      <c r="AF347" s="28">
        <v>0.24</v>
      </c>
      <c r="AI347" s="28">
        <v>0.20499999999999999</v>
      </c>
      <c r="AL347" s="28">
        <v>0.315</v>
      </c>
      <c r="AO347" s="28">
        <v>5.5E-2</v>
      </c>
      <c r="AR347" s="28">
        <v>6.5000000000000002E-2</v>
      </c>
      <c r="AU347" s="28">
        <v>7.4999999999999997E-2</v>
      </c>
      <c r="AX347" s="28">
        <v>0</v>
      </c>
      <c r="BA347" s="28">
        <v>0.01</v>
      </c>
    </row>
    <row r="348" spans="1:53" s="28" customFormat="1" ht="21" x14ac:dyDescent="0.35">
      <c r="A348" s="1"/>
      <c r="B348" s="2"/>
      <c r="C348" s="2"/>
      <c r="D348" s="2"/>
      <c r="E348" s="2"/>
      <c r="F348" s="2"/>
      <c r="G348" s="2"/>
      <c r="H348" s="2"/>
      <c r="I348" s="40">
        <v>20520</v>
      </c>
      <c r="J348" s="39">
        <v>0.75625454550000004</v>
      </c>
      <c r="K348" s="28">
        <v>0.43</v>
      </c>
      <c r="N348" s="28">
        <v>0.56999999999999995</v>
      </c>
      <c r="Q348" s="28">
        <v>0.33</v>
      </c>
      <c r="T348" s="28">
        <v>0.33</v>
      </c>
      <c r="W348" s="28">
        <v>0.01</v>
      </c>
      <c r="Z348" s="28">
        <v>0.01</v>
      </c>
      <c r="AC348" s="28">
        <v>0.48</v>
      </c>
      <c r="AF348" s="28">
        <v>0.255</v>
      </c>
      <c r="AI348" s="28">
        <v>0.22500000000000001</v>
      </c>
      <c r="AL348" s="28">
        <v>0.33500000000000002</v>
      </c>
      <c r="AO348" s="28">
        <v>7.4999999999999997E-2</v>
      </c>
      <c r="AR348" s="28">
        <v>8.5000000000000006E-2</v>
      </c>
      <c r="AU348" s="28">
        <v>9.5000000000000001E-2</v>
      </c>
      <c r="AX348" s="28">
        <v>0</v>
      </c>
      <c r="BA348" s="28">
        <v>0.01</v>
      </c>
    </row>
    <row r="349" spans="1:53" s="28" customFormat="1" ht="21" x14ac:dyDescent="0.35">
      <c r="A349" s="1"/>
      <c r="B349" s="2"/>
      <c r="C349" s="2"/>
      <c r="D349" s="2"/>
      <c r="E349" s="2"/>
      <c r="F349" s="2"/>
      <c r="G349" s="2"/>
      <c r="H349" s="2"/>
      <c r="I349" s="40">
        <v>20580</v>
      </c>
      <c r="J349" s="39">
        <v>0.74764242449999996</v>
      </c>
      <c r="K349" s="28">
        <v>0.43</v>
      </c>
      <c r="N349" s="28">
        <v>0.56999999999999995</v>
      </c>
      <c r="Q349" s="28">
        <v>0.33</v>
      </c>
      <c r="T349" s="28">
        <v>0.33</v>
      </c>
      <c r="W349" s="28">
        <v>0.01</v>
      </c>
      <c r="Z349" s="28">
        <v>0.01</v>
      </c>
      <c r="AC349" s="28">
        <v>0.48</v>
      </c>
      <c r="AF349" s="28">
        <v>0.26</v>
      </c>
      <c r="AI349" s="28">
        <v>0.23</v>
      </c>
      <c r="AL349" s="28">
        <v>0.34499999999999997</v>
      </c>
      <c r="AO349" s="28">
        <v>0.09</v>
      </c>
      <c r="AR349" s="28">
        <v>0.1</v>
      </c>
      <c r="AU349" s="28">
        <v>0.11</v>
      </c>
      <c r="AX349" s="28">
        <v>0</v>
      </c>
      <c r="BA349" s="28">
        <v>0.01</v>
      </c>
    </row>
    <row r="350" spans="1:53" s="28" customFormat="1" ht="21" x14ac:dyDescent="0.35">
      <c r="A350" s="1"/>
      <c r="B350" s="2"/>
      <c r="C350" s="2"/>
      <c r="D350" s="2"/>
      <c r="E350" s="2"/>
      <c r="F350" s="2"/>
      <c r="G350" s="2"/>
      <c r="H350" s="2"/>
      <c r="I350" s="40">
        <v>20640</v>
      </c>
      <c r="J350" s="39">
        <v>0.73712424249999997</v>
      </c>
      <c r="K350" s="28">
        <v>0.43</v>
      </c>
      <c r="N350" s="28">
        <v>0.56499999999999995</v>
      </c>
      <c r="Q350" s="28">
        <v>0.33</v>
      </c>
      <c r="T350" s="28">
        <v>0.32500000000000001</v>
      </c>
      <c r="W350" s="28">
        <v>0.01</v>
      </c>
      <c r="Z350" s="28">
        <v>0.01</v>
      </c>
      <c r="AC350" s="28">
        <v>0.48</v>
      </c>
      <c r="AF350" s="28">
        <v>0.26</v>
      </c>
      <c r="AI350" s="28">
        <v>0.23</v>
      </c>
      <c r="AL350" s="28">
        <v>0.35</v>
      </c>
      <c r="AO350" s="28">
        <v>9.5000000000000001E-2</v>
      </c>
      <c r="AR350" s="28">
        <v>0.105</v>
      </c>
      <c r="AU350" s="28">
        <v>0.12</v>
      </c>
      <c r="AX350" s="28">
        <v>0</v>
      </c>
      <c r="BA350" s="28">
        <v>0.01</v>
      </c>
    </row>
    <row r="351" spans="1:53" s="28" customFormat="1" ht="21" x14ac:dyDescent="0.35">
      <c r="A351" s="1"/>
      <c r="B351" s="2"/>
      <c r="C351" s="2"/>
      <c r="D351" s="2"/>
      <c r="E351" s="2"/>
      <c r="F351" s="2"/>
      <c r="G351" s="2"/>
      <c r="H351" s="2"/>
      <c r="I351" s="40">
        <v>20700</v>
      </c>
      <c r="J351" s="39">
        <v>0.72627878800000001</v>
      </c>
      <c r="K351" s="28">
        <v>0.43</v>
      </c>
      <c r="N351" s="28">
        <v>0.56000000000000005</v>
      </c>
      <c r="Q351" s="28">
        <v>0.33</v>
      </c>
      <c r="T351" s="28">
        <v>0.32</v>
      </c>
      <c r="W351" s="28">
        <v>0.01</v>
      </c>
      <c r="Z351" s="28">
        <v>0.01</v>
      </c>
      <c r="AC351" s="28">
        <v>0.48</v>
      </c>
      <c r="AF351" s="28">
        <v>0.26</v>
      </c>
      <c r="AI351" s="28">
        <v>0.23</v>
      </c>
      <c r="AL351" s="28">
        <v>0.35499999999999998</v>
      </c>
      <c r="AO351" s="28">
        <v>0.1</v>
      </c>
      <c r="AR351" s="28">
        <v>0.11</v>
      </c>
      <c r="AU351" s="28">
        <v>0.13</v>
      </c>
      <c r="AX351" s="28">
        <v>0</v>
      </c>
      <c r="BA351" s="28">
        <v>0.01</v>
      </c>
    </row>
    <row r="352" spans="1:53" s="28" customFormat="1" ht="21" x14ac:dyDescent="0.35">
      <c r="A352" s="1"/>
      <c r="B352" s="2"/>
      <c r="C352" s="2"/>
      <c r="D352" s="2"/>
      <c r="E352" s="2"/>
      <c r="F352" s="2"/>
      <c r="G352" s="2"/>
      <c r="H352" s="2"/>
      <c r="I352" s="40">
        <v>20760</v>
      </c>
      <c r="J352" s="39">
        <v>0.72240303049999999</v>
      </c>
      <c r="K352" s="28">
        <v>0.43</v>
      </c>
      <c r="N352" s="28">
        <v>0.56999999999999995</v>
      </c>
      <c r="Q352" s="28">
        <v>0.33</v>
      </c>
      <c r="T352" s="28">
        <v>0.32500000000000001</v>
      </c>
      <c r="W352" s="28">
        <v>0.01</v>
      </c>
      <c r="Z352" s="28">
        <v>0.01</v>
      </c>
      <c r="AC352" s="28">
        <v>0.48</v>
      </c>
      <c r="AF352" s="28">
        <v>0.26</v>
      </c>
      <c r="AI352" s="28">
        <v>0.23</v>
      </c>
      <c r="AL352" s="28">
        <v>0.36</v>
      </c>
      <c r="AO352" s="28">
        <v>0.11</v>
      </c>
      <c r="AR352" s="28">
        <v>0.12</v>
      </c>
      <c r="AU352" s="28">
        <v>0.13500000000000001</v>
      </c>
      <c r="AX352" s="28">
        <v>0</v>
      </c>
      <c r="BA352" s="28">
        <v>0.01</v>
      </c>
    </row>
    <row r="353" spans="1:53" s="28" customFormat="1" ht="21" x14ac:dyDescent="0.35">
      <c r="A353" s="1"/>
      <c r="B353" s="2"/>
      <c r="C353" s="2"/>
      <c r="D353" s="2"/>
      <c r="E353" s="2"/>
      <c r="F353" s="2"/>
      <c r="G353" s="2"/>
      <c r="H353" s="2"/>
      <c r="I353" s="40">
        <v>20820</v>
      </c>
      <c r="J353" s="39">
        <v>0.7733333335</v>
      </c>
      <c r="K353" s="28">
        <v>0.435</v>
      </c>
      <c r="N353" s="28">
        <v>0.58499999999999996</v>
      </c>
      <c r="Q353" s="28">
        <v>0.34</v>
      </c>
      <c r="T353" s="28">
        <v>0.33500000000000002</v>
      </c>
      <c r="W353" s="28">
        <v>0.01</v>
      </c>
      <c r="Z353" s="28">
        <v>0.01</v>
      </c>
      <c r="AC353" s="28">
        <v>0.495</v>
      </c>
      <c r="AF353" s="28">
        <v>0.26500000000000001</v>
      </c>
      <c r="AI353" s="28">
        <v>0.23499999999999999</v>
      </c>
      <c r="AL353" s="28">
        <v>0.375</v>
      </c>
      <c r="AO353" s="28">
        <v>0.115</v>
      </c>
      <c r="AR353" s="28">
        <v>0.13</v>
      </c>
      <c r="AU353" s="28">
        <v>0.15</v>
      </c>
      <c r="AX353" s="28">
        <v>0.01</v>
      </c>
      <c r="BA353" s="28">
        <v>0.01</v>
      </c>
    </row>
    <row r="354" spans="1:53" s="28" customFormat="1" ht="21" x14ac:dyDescent="0.35">
      <c r="A354" s="1"/>
      <c r="B354" s="2"/>
      <c r="C354" s="2"/>
      <c r="D354" s="2"/>
      <c r="E354" s="2"/>
      <c r="F354" s="2"/>
      <c r="G354" s="2"/>
      <c r="H354" s="2"/>
      <c r="I354" s="40">
        <v>20880</v>
      </c>
      <c r="J354" s="39">
        <v>0.86656666699999996</v>
      </c>
      <c r="K354" s="28">
        <v>0.44500000000000001</v>
      </c>
      <c r="N354" s="28">
        <v>0.60499999999999998</v>
      </c>
      <c r="Q354" s="28">
        <v>0.36</v>
      </c>
      <c r="T354" s="28">
        <v>0.35499999999999998</v>
      </c>
      <c r="W354" s="28">
        <v>0.01</v>
      </c>
      <c r="Z354" s="28">
        <v>0.01</v>
      </c>
      <c r="AC354" s="28">
        <v>0.51500000000000001</v>
      </c>
      <c r="AF354" s="28">
        <v>0.28499999999999998</v>
      </c>
      <c r="AI354" s="28">
        <v>0.255</v>
      </c>
      <c r="AL354" s="28">
        <v>0.4</v>
      </c>
      <c r="AO354" s="28">
        <v>0.14000000000000001</v>
      </c>
      <c r="AR354" s="28">
        <v>0.155</v>
      </c>
      <c r="AU354" s="28">
        <v>0.17</v>
      </c>
      <c r="AX354" s="28">
        <v>0.01</v>
      </c>
      <c r="BA354" s="28">
        <v>0.01</v>
      </c>
    </row>
    <row r="355" spans="1:53" s="28" customFormat="1" ht="21" x14ac:dyDescent="0.35">
      <c r="A355" s="1"/>
      <c r="B355" s="2"/>
      <c r="C355" s="2"/>
      <c r="D355" s="2"/>
      <c r="E355" s="2"/>
      <c r="F355" s="2"/>
      <c r="G355" s="2"/>
      <c r="H355" s="2"/>
      <c r="I355" s="40">
        <v>20940</v>
      </c>
      <c r="J355" s="39">
        <v>0.97087272700000005</v>
      </c>
      <c r="K355" s="28">
        <v>0.45500000000000002</v>
      </c>
      <c r="N355" s="28">
        <v>0.625</v>
      </c>
      <c r="Q355" s="28">
        <v>0.38500000000000001</v>
      </c>
      <c r="T355" s="28">
        <v>0.38500000000000001</v>
      </c>
      <c r="W355" s="28">
        <v>0.01</v>
      </c>
      <c r="Z355" s="28">
        <v>1.4999999999999999E-2</v>
      </c>
      <c r="AC355" s="28">
        <v>0.54</v>
      </c>
      <c r="AF355" s="28">
        <v>0.315</v>
      </c>
      <c r="AI355" s="28">
        <v>0.28499999999999998</v>
      </c>
      <c r="AL355" s="28">
        <v>0.43</v>
      </c>
      <c r="AO355" s="28">
        <v>0.17</v>
      </c>
      <c r="AR355" s="28">
        <v>0.19</v>
      </c>
      <c r="AU355" s="28">
        <v>0.2</v>
      </c>
      <c r="AX355" s="28">
        <v>0.01</v>
      </c>
      <c r="BA355" s="28">
        <v>1.4999999999999999E-2</v>
      </c>
    </row>
    <row r="356" spans="1:53" s="28" customFormat="1" ht="21" x14ac:dyDescent="0.35">
      <c r="A356" s="1"/>
      <c r="B356" s="2"/>
      <c r="C356" s="2"/>
      <c r="D356" s="2"/>
      <c r="E356" s="2"/>
      <c r="F356" s="2"/>
      <c r="G356" s="2"/>
      <c r="H356" s="2"/>
      <c r="I356" s="40">
        <v>21000</v>
      </c>
      <c r="J356" s="39">
        <v>1.0107121210000001</v>
      </c>
      <c r="K356" s="28">
        <v>0.46500000000000002</v>
      </c>
      <c r="N356" s="28">
        <v>0.64500000000000002</v>
      </c>
      <c r="Q356" s="28">
        <v>0.40500000000000003</v>
      </c>
      <c r="T356" s="28">
        <v>0.40500000000000003</v>
      </c>
      <c r="W356" s="28">
        <v>0.01</v>
      </c>
      <c r="Z356" s="28">
        <v>2.5000000000000001E-2</v>
      </c>
      <c r="AC356" s="28">
        <v>0.56499999999999995</v>
      </c>
      <c r="AF356" s="28">
        <v>0.34</v>
      </c>
      <c r="AI356" s="28">
        <v>0.315</v>
      </c>
      <c r="AL356" s="28">
        <v>0.47</v>
      </c>
      <c r="AO356" s="28">
        <v>0.2</v>
      </c>
      <c r="AR356" s="28">
        <v>0.22500000000000001</v>
      </c>
      <c r="AU356" s="28">
        <v>0.23499999999999999</v>
      </c>
      <c r="AX356" s="28">
        <v>0.01</v>
      </c>
      <c r="BA356" s="28">
        <v>3.5000000000000003E-2</v>
      </c>
    </row>
    <row r="357" spans="1:53" s="28" customFormat="1" ht="21" x14ac:dyDescent="0.35">
      <c r="A357" s="1"/>
      <c r="B357" s="2"/>
      <c r="C357" s="2"/>
      <c r="D357" s="2"/>
      <c r="E357" s="2"/>
      <c r="F357" s="2"/>
      <c r="G357" s="2"/>
      <c r="H357" s="2"/>
      <c r="I357" s="40">
        <v>21060</v>
      </c>
      <c r="J357" s="39">
        <v>1.0110030305</v>
      </c>
      <c r="K357" s="28">
        <v>0.47</v>
      </c>
      <c r="N357" s="28">
        <v>0.66500000000000004</v>
      </c>
      <c r="Q357" s="28">
        <v>0.42499999999999999</v>
      </c>
      <c r="T357" s="28">
        <v>0.42499999999999999</v>
      </c>
      <c r="W357" s="28">
        <v>0.01</v>
      </c>
      <c r="Z357" s="28">
        <v>0.04</v>
      </c>
      <c r="AC357" s="28">
        <v>0.59499999999999997</v>
      </c>
      <c r="AF357" s="28">
        <v>0.37</v>
      </c>
      <c r="AI357" s="28">
        <v>0.34</v>
      </c>
      <c r="AL357" s="28">
        <v>0.5</v>
      </c>
      <c r="AO357" s="28">
        <v>0.24</v>
      </c>
      <c r="AR357" s="28">
        <v>0.26</v>
      </c>
      <c r="AU357" s="28">
        <v>0.27</v>
      </c>
      <c r="AX357" s="28">
        <v>0.02</v>
      </c>
      <c r="BA357" s="28">
        <v>5.5E-2</v>
      </c>
    </row>
    <row r="358" spans="1:53" s="28" customFormat="1" ht="21" x14ac:dyDescent="0.35">
      <c r="A358" s="1"/>
      <c r="B358" s="2"/>
      <c r="C358" s="2"/>
      <c r="D358" s="2"/>
      <c r="E358" s="2"/>
      <c r="F358" s="2"/>
      <c r="G358" s="2"/>
      <c r="H358" s="2"/>
      <c r="I358" s="40">
        <v>21120</v>
      </c>
      <c r="J358" s="39">
        <v>0.99956363650000002</v>
      </c>
      <c r="K358" s="28">
        <v>0.48</v>
      </c>
      <c r="N358" s="28">
        <v>0.68</v>
      </c>
      <c r="Q358" s="28">
        <v>0.44500000000000001</v>
      </c>
      <c r="T358" s="28">
        <v>0.44</v>
      </c>
      <c r="W358" s="28">
        <v>1.4999999999999999E-2</v>
      </c>
      <c r="Z358" s="28">
        <v>5.5E-2</v>
      </c>
      <c r="AC358" s="28">
        <v>0.61</v>
      </c>
      <c r="AF358" s="28">
        <v>0.39</v>
      </c>
      <c r="AI358" s="28">
        <v>0.36499999999999999</v>
      </c>
      <c r="AL358" s="28">
        <v>0.53500000000000003</v>
      </c>
      <c r="AO358" s="28">
        <v>0.27</v>
      </c>
      <c r="AR358" s="28">
        <v>0.3</v>
      </c>
      <c r="AU358" s="28">
        <v>0.31</v>
      </c>
      <c r="AX358" s="28">
        <v>3.5000000000000003E-2</v>
      </c>
      <c r="BA358" s="28">
        <v>0.08</v>
      </c>
    </row>
    <row r="359" spans="1:53" s="28" customFormat="1" ht="21" x14ac:dyDescent="0.35">
      <c r="A359" s="1"/>
      <c r="B359" s="2"/>
      <c r="C359" s="2"/>
      <c r="D359" s="2"/>
      <c r="E359" s="2"/>
      <c r="F359" s="2"/>
      <c r="G359" s="2"/>
      <c r="H359" s="2"/>
      <c r="I359" s="40">
        <v>21180</v>
      </c>
      <c r="J359" s="39">
        <v>0.98395454550000006</v>
      </c>
      <c r="K359" s="28">
        <v>0.48</v>
      </c>
      <c r="N359" s="28">
        <v>0.68</v>
      </c>
      <c r="Q359" s="28">
        <v>0.45500000000000002</v>
      </c>
      <c r="T359" s="28">
        <v>0.45</v>
      </c>
      <c r="W359" s="28">
        <v>0.02</v>
      </c>
      <c r="Z359" s="28">
        <v>7.4999999999999997E-2</v>
      </c>
      <c r="AC359" s="28">
        <v>0.62</v>
      </c>
      <c r="AF359" s="28">
        <v>0.40500000000000003</v>
      </c>
      <c r="AI359" s="28">
        <v>0.38</v>
      </c>
      <c r="AL359" s="28">
        <v>0.55500000000000005</v>
      </c>
      <c r="AO359" s="28">
        <v>0.29499999999999998</v>
      </c>
      <c r="AR359" s="28">
        <v>0.32500000000000001</v>
      </c>
      <c r="AU359" s="28">
        <v>0.34</v>
      </c>
      <c r="AX359" s="28">
        <v>5.5E-2</v>
      </c>
      <c r="BA359" s="28">
        <v>0.11</v>
      </c>
    </row>
    <row r="360" spans="1:53" s="28" customFormat="1" ht="21" x14ac:dyDescent="0.35">
      <c r="A360" s="1"/>
      <c r="B360" s="2"/>
      <c r="C360" s="2"/>
      <c r="D360" s="2"/>
      <c r="E360" s="2"/>
      <c r="F360" s="2"/>
      <c r="G360" s="2"/>
      <c r="H360" s="2"/>
      <c r="I360" s="40">
        <v>21240</v>
      </c>
      <c r="J360" s="39">
        <v>0.96935757600000005</v>
      </c>
      <c r="K360" s="28">
        <v>0.48</v>
      </c>
      <c r="N360" s="28">
        <v>0.69</v>
      </c>
      <c r="Q360" s="28">
        <v>0.46</v>
      </c>
      <c r="T360" s="28">
        <v>0.45</v>
      </c>
      <c r="W360" s="28">
        <v>0.02</v>
      </c>
      <c r="Z360" s="28">
        <v>0.09</v>
      </c>
      <c r="AC360" s="28">
        <v>0.63</v>
      </c>
      <c r="AF360" s="28">
        <v>0.41499999999999998</v>
      </c>
      <c r="AI360" s="28">
        <v>0.39</v>
      </c>
      <c r="AL360" s="28">
        <v>0.57499999999999996</v>
      </c>
      <c r="AO360" s="28">
        <v>0.315</v>
      </c>
      <c r="AR360" s="28">
        <v>0.34</v>
      </c>
      <c r="AU360" s="28">
        <v>0.36499999999999999</v>
      </c>
      <c r="AX360" s="28">
        <v>7.4999999999999997E-2</v>
      </c>
      <c r="BA360" s="28">
        <v>0.13500000000000001</v>
      </c>
    </row>
    <row r="361" spans="1:53" s="28" customFormat="1" ht="21" x14ac:dyDescent="0.35">
      <c r="A361" s="1"/>
      <c r="B361" s="2"/>
      <c r="C361" s="2"/>
      <c r="D361" s="2"/>
      <c r="E361" s="2"/>
      <c r="F361" s="2"/>
      <c r="G361" s="2"/>
      <c r="H361" s="2"/>
      <c r="I361" s="40">
        <v>21300</v>
      </c>
      <c r="J361" s="39">
        <v>0.95594848499999996</v>
      </c>
      <c r="K361" s="28">
        <v>0.48</v>
      </c>
      <c r="N361" s="28">
        <v>0.69</v>
      </c>
      <c r="Q361" s="28">
        <v>0.46500000000000002</v>
      </c>
      <c r="T361" s="28">
        <v>0.46</v>
      </c>
      <c r="W361" s="28">
        <v>2.5000000000000001E-2</v>
      </c>
      <c r="Z361" s="28">
        <v>0.1</v>
      </c>
      <c r="AC361" s="28">
        <v>0.64</v>
      </c>
      <c r="AF361" s="28">
        <v>0.42</v>
      </c>
      <c r="AI361" s="28">
        <v>0.39500000000000002</v>
      </c>
      <c r="AL361" s="28">
        <v>0.59</v>
      </c>
      <c r="AO361" s="28">
        <v>0.33500000000000002</v>
      </c>
      <c r="AR361" s="28">
        <v>0.35499999999999998</v>
      </c>
      <c r="AU361" s="28">
        <v>0.38500000000000001</v>
      </c>
      <c r="AX361" s="28">
        <v>9.5000000000000001E-2</v>
      </c>
      <c r="BA361" s="28">
        <v>0.155</v>
      </c>
    </row>
    <row r="362" spans="1:53" s="28" customFormat="1" ht="21" x14ac:dyDescent="0.35">
      <c r="A362" s="1"/>
      <c r="B362" s="2"/>
      <c r="C362" s="2"/>
      <c r="D362" s="2"/>
      <c r="E362" s="2"/>
      <c r="F362" s="2"/>
      <c r="G362" s="2"/>
      <c r="H362" s="2"/>
      <c r="I362" s="40">
        <v>21360</v>
      </c>
      <c r="J362" s="39">
        <v>0.94329697000000001</v>
      </c>
      <c r="K362" s="28">
        <v>0.48</v>
      </c>
      <c r="N362" s="28">
        <v>0.7</v>
      </c>
      <c r="Q362" s="28">
        <v>0.47</v>
      </c>
      <c r="T362" s="28">
        <v>0.46</v>
      </c>
      <c r="W362" s="28">
        <v>0.03</v>
      </c>
      <c r="Z362" s="28">
        <v>0.1</v>
      </c>
      <c r="AC362" s="28">
        <v>0.64</v>
      </c>
      <c r="AF362" s="28">
        <v>0.43</v>
      </c>
      <c r="AI362" s="28">
        <v>0.4</v>
      </c>
      <c r="AL362" s="28">
        <v>0.60499999999999998</v>
      </c>
      <c r="AO362" s="28">
        <v>0.35</v>
      </c>
      <c r="AR362" s="28">
        <v>0.36499999999999999</v>
      </c>
      <c r="AU362" s="28">
        <v>0.40500000000000003</v>
      </c>
      <c r="AX362" s="28">
        <v>0.105</v>
      </c>
      <c r="BA362" s="28">
        <v>0.16500000000000001</v>
      </c>
    </row>
    <row r="363" spans="1:53" s="28" customFormat="1" ht="21" x14ac:dyDescent="0.35">
      <c r="A363" s="1"/>
      <c r="B363" s="2"/>
      <c r="C363" s="2"/>
      <c r="D363" s="2"/>
      <c r="E363" s="2"/>
      <c r="F363" s="2"/>
      <c r="G363" s="2"/>
      <c r="H363" s="2"/>
      <c r="I363" s="40">
        <v>21420</v>
      </c>
      <c r="J363" s="39">
        <v>0.92991212150000002</v>
      </c>
      <c r="K363" s="28">
        <v>0.48</v>
      </c>
      <c r="N363" s="28">
        <v>0.7</v>
      </c>
      <c r="Q363" s="28">
        <v>0.47</v>
      </c>
      <c r="T363" s="28">
        <v>0.46</v>
      </c>
      <c r="W363" s="28">
        <v>2.5000000000000001E-2</v>
      </c>
      <c r="Z363" s="28">
        <v>0.1</v>
      </c>
      <c r="AC363" s="28">
        <v>0.65</v>
      </c>
      <c r="AF363" s="28">
        <v>0.43</v>
      </c>
      <c r="AI363" s="28">
        <v>0.40500000000000003</v>
      </c>
      <c r="AL363" s="28">
        <v>0.61499999999999999</v>
      </c>
      <c r="AO363" s="28">
        <v>0.36499999999999999</v>
      </c>
      <c r="AR363" s="28">
        <v>0.375</v>
      </c>
      <c r="AU363" s="28">
        <v>0.42499999999999999</v>
      </c>
      <c r="AX363" s="28">
        <v>0.11</v>
      </c>
      <c r="BA363" s="28">
        <v>0.17499999999999999</v>
      </c>
    </row>
    <row r="364" spans="1:53" s="28" customFormat="1" ht="21" x14ac:dyDescent="0.35">
      <c r="A364" s="1"/>
      <c r="B364" s="2"/>
      <c r="C364" s="2"/>
      <c r="D364" s="2"/>
      <c r="E364" s="2"/>
      <c r="F364" s="2"/>
      <c r="G364" s="2"/>
      <c r="H364" s="2"/>
      <c r="I364" s="40">
        <v>21480</v>
      </c>
      <c r="J364" s="39">
        <v>0.91830000000000001</v>
      </c>
      <c r="K364" s="28">
        <v>0.48499999999999999</v>
      </c>
      <c r="N364" s="28">
        <v>0.7</v>
      </c>
      <c r="Q364" s="28">
        <v>0.47499999999999998</v>
      </c>
      <c r="T364" s="28">
        <v>0.46</v>
      </c>
      <c r="W364" s="28">
        <v>0.02</v>
      </c>
      <c r="Z364" s="28">
        <v>0.1</v>
      </c>
      <c r="AC364" s="28">
        <v>0.65</v>
      </c>
      <c r="AF364" s="28">
        <v>0.435</v>
      </c>
      <c r="AI364" s="28">
        <v>0.41</v>
      </c>
      <c r="AL364" s="28">
        <v>0.625</v>
      </c>
      <c r="AO364" s="28">
        <v>0.37</v>
      </c>
      <c r="AR364" s="28">
        <v>0.38</v>
      </c>
      <c r="AU364" s="28">
        <v>0.44</v>
      </c>
      <c r="AX364" s="28">
        <v>0.11</v>
      </c>
      <c r="BA364" s="28">
        <v>0.18</v>
      </c>
    </row>
    <row r="365" spans="1:53" s="28" customFormat="1" ht="21" x14ac:dyDescent="0.35">
      <c r="A365" s="1"/>
      <c r="B365" s="2"/>
      <c r="C365" s="2"/>
      <c r="D365" s="2"/>
      <c r="E365" s="2"/>
      <c r="F365" s="2"/>
      <c r="G365" s="2"/>
      <c r="H365" s="2"/>
      <c r="I365" s="40">
        <v>21540</v>
      </c>
      <c r="J365" s="39">
        <v>0.90719696999999999</v>
      </c>
      <c r="K365" s="28">
        <v>0.49</v>
      </c>
      <c r="N365" s="28">
        <v>0.7</v>
      </c>
      <c r="Q365" s="28">
        <v>0.48</v>
      </c>
      <c r="T365" s="28">
        <v>0.47</v>
      </c>
      <c r="W365" s="28">
        <v>0.02</v>
      </c>
      <c r="Z365" s="28">
        <v>0.1</v>
      </c>
      <c r="AC365" s="28">
        <v>0.65</v>
      </c>
      <c r="AF365" s="28">
        <v>0.44</v>
      </c>
      <c r="AI365" s="28">
        <v>0.41</v>
      </c>
      <c r="AL365" s="28">
        <v>0.63</v>
      </c>
      <c r="AO365" s="28">
        <v>0.38</v>
      </c>
      <c r="AR365" s="28">
        <v>0.39</v>
      </c>
      <c r="AU365" s="28">
        <v>0.45</v>
      </c>
      <c r="AX365" s="28">
        <v>0.11</v>
      </c>
      <c r="BA365" s="28">
        <v>0.18</v>
      </c>
    </row>
    <row r="366" spans="1:53" s="28" customFormat="1" ht="21" x14ac:dyDescent="0.35">
      <c r="A366" s="1"/>
      <c r="B366" s="2"/>
      <c r="C366" s="2"/>
      <c r="D366" s="2"/>
      <c r="E366" s="2"/>
      <c r="F366" s="2"/>
      <c r="G366" s="2"/>
      <c r="H366" s="2"/>
      <c r="I366" s="40">
        <v>21600</v>
      </c>
      <c r="J366" s="39">
        <v>0.89655454550000002</v>
      </c>
      <c r="K366" s="28">
        <v>0.49</v>
      </c>
      <c r="N366" s="28">
        <v>0.7</v>
      </c>
      <c r="Q366" s="28">
        <v>0.48</v>
      </c>
      <c r="T366" s="28">
        <v>0.47</v>
      </c>
      <c r="W366" s="28">
        <v>1.4999999999999999E-2</v>
      </c>
      <c r="Z366" s="28">
        <v>0.09</v>
      </c>
      <c r="AC366" s="28">
        <v>0.66</v>
      </c>
      <c r="AF366" s="28">
        <v>0.44</v>
      </c>
      <c r="AI366" s="28">
        <v>0.41</v>
      </c>
      <c r="AL366" s="28">
        <v>0.64</v>
      </c>
      <c r="AO366" s="28">
        <v>0.38500000000000001</v>
      </c>
      <c r="AR366" s="28">
        <v>0.39500000000000002</v>
      </c>
      <c r="AU366" s="28">
        <v>0.46</v>
      </c>
      <c r="AX366" s="28">
        <v>0.11</v>
      </c>
      <c r="BA366" s="28">
        <v>0.18</v>
      </c>
    </row>
    <row r="367" spans="1:53" s="28" customFormat="1" ht="21" x14ac:dyDescent="0.35">
      <c r="A367" s="1"/>
      <c r="B367" s="2"/>
      <c r="C367" s="2"/>
      <c r="D367" s="2"/>
      <c r="E367" s="2"/>
      <c r="F367" s="2"/>
      <c r="G367" s="2"/>
      <c r="H367" s="2"/>
      <c r="I367" s="40">
        <v>21660</v>
      </c>
      <c r="J367" s="39">
        <v>0.88626363649999995</v>
      </c>
      <c r="K367" s="28">
        <v>0.49</v>
      </c>
      <c r="N367" s="28">
        <v>0.7</v>
      </c>
      <c r="Q367" s="28">
        <v>0.48</v>
      </c>
      <c r="T367" s="28">
        <v>0.47</v>
      </c>
      <c r="W367" s="28">
        <v>0.01</v>
      </c>
      <c r="Z367" s="28">
        <v>0.09</v>
      </c>
      <c r="AC367" s="28">
        <v>0.66</v>
      </c>
      <c r="AF367" s="28">
        <v>0.44</v>
      </c>
      <c r="AI367" s="28">
        <v>0.41</v>
      </c>
      <c r="AL367" s="28">
        <v>0.64</v>
      </c>
      <c r="AO367" s="28">
        <v>0.39</v>
      </c>
      <c r="AR367" s="28">
        <v>0.4</v>
      </c>
      <c r="AU367" s="28">
        <v>0.47</v>
      </c>
      <c r="AX367" s="28">
        <v>0.11</v>
      </c>
      <c r="BA367" s="28">
        <v>0.18</v>
      </c>
    </row>
    <row r="368" spans="1:53" s="28" customFormat="1" ht="21" x14ac:dyDescent="0.35">
      <c r="A368" s="1"/>
      <c r="B368" s="2"/>
      <c r="C368" s="2"/>
      <c r="D368" s="2"/>
      <c r="E368" s="2"/>
      <c r="F368" s="2"/>
      <c r="G368" s="2"/>
      <c r="H368" s="2"/>
      <c r="I368" s="40">
        <v>21720</v>
      </c>
      <c r="J368" s="39">
        <v>0.87809999999999999</v>
      </c>
      <c r="K368" s="28">
        <v>0.49</v>
      </c>
      <c r="N368" s="28">
        <v>0.7</v>
      </c>
      <c r="Q368" s="28">
        <v>0.48</v>
      </c>
      <c r="T368" s="28">
        <v>0.47</v>
      </c>
      <c r="W368" s="28">
        <v>5.0000000000000001E-3</v>
      </c>
      <c r="Z368" s="28">
        <v>8.5000000000000006E-2</v>
      </c>
      <c r="AC368" s="28">
        <v>0.66</v>
      </c>
      <c r="AF368" s="28">
        <v>0.44</v>
      </c>
      <c r="AI368" s="28">
        <v>0.41</v>
      </c>
      <c r="AL368" s="28">
        <v>0.65</v>
      </c>
      <c r="AO368" s="28">
        <v>0.39500000000000002</v>
      </c>
      <c r="AR368" s="28">
        <v>0.40500000000000003</v>
      </c>
      <c r="AU368" s="28">
        <v>0.47</v>
      </c>
      <c r="AX368" s="28">
        <v>0.11</v>
      </c>
      <c r="BA368" s="28">
        <v>0.18</v>
      </c>
    </row>
    <row r="369" spans="1:53" s="28" customFormat="1" ht="21" x14ac:dyDescent="0.35">
      <c r="A369" s="1"/>
      <c r="B369" s="2"/>
      <c r="C369" s="2"/>
      <c r="D369" s="2"/>
      <c r="E369" s="2"/>
      <c r="F369" s="2"/>
      <c r="G369" s="2"/>
      <c r="H369" s="2"/>
      <c r="I369" s="40">
        <v>21780</v>
      </c>
      <c r="J369" s="39">
        <v>0.87058787900000001</v>
      </c>
      <c r="K369" s="28">
        <v>0.49</v>
      </c>
      <c r="N369" s="28">
        <v>0.7</v>
      </c>
      <c r="Q369" s="28">
        <v>0.48</v>
      </c>
      <c r="T369" s="28">
        <v>0.46500000000000002</v>
      </c>
      <c r="W369" s="28">
        <v>0</v>
      </c>
      <c r="Z369" s="28">
        <v>0.08</v>
      </c>
      <c r="AC369" s="28">
        <v>0.66</v>
      </c>
      <c r="AF369" s="28">
        <v>0.44</v>
      </c>
      <c r="AI369" s="28">
        <v>0.41</v>
      </c>
      <c r="AL369" s="28">
        <v>0.65</v>
      </c>
      <c r="AO369" s="28">
        <v>0.4</v>
      </c>
      <c r="AR369" s="28">
        <v>0.41</v>
      </c>
      <c r="AU369" s="28">
        <v>0.48</v>
      </c>
      <c r="AX369" s="28">
        <v>0.11</v>
      </c>
      <c r="BA369" s="28">
        <v>0.18</v>
      </c>
    </row>
    <row r="370" spans="1:53" s="28" customFormat="1" ht="21" x14ac:dyDescent="0.35">
      <c r="A370" s="1"/>
      <c r="B370" s="2"/>
      <c r="C370" s="2"/>
      <c r="D370" s="2"/>
      <c r="E370" s="2"/>
      <c r="F370" s="2"/>
      <c r="G370" s="2"/>
      <c r="H370" s="2"/>
      <c r="I370" s="40">
        <v>21840</v>
      </c>
      <c r="J370" s="39">
        <v>0.86292424249999999</v>
      </c>
      <c r="K370" s="28">
        <v>0.49</v>
      </c>
      <c r="N370" s="28">
        <v>0.7</v>
      </c>
      <c r="Q370" s="28">
        <v>0.48</v>
      </c>
      <c r="T370" s="28">
        <v>0.46</v>
      </c>
      <c r="W370" s="28">
        <v>0</v>
      </c>
      <c r="Z370" s="28">
        <v>0.08</v>
      </c>
      <c r="AC370" s="28">
        <v>0.66</v>
      </c>
      <c r="AF370" s="28">
        <v>0.44</v>
      </c>
      <c r="AI370" s="28">
        <v>0.41</v>
      </c>
      <c r="AL370" s="28">
        <v>0.65500000000000003</v>
      </c>
      <c r="AO370" s="28">
        <v>0.4</v>
      </c>
      <c r="AR370" s="28">
        <v>0.41</v>
      </c>
      <c r="AU370" s="28">
        <v>0.48</v>
      </c>
      <c r="AX370" s="28">
        <v>0.11</v>
      </c>
      <c r="BA370" s="28">
        <v>0.17</v>
      </c>
    </row>
    <row r="371" spans="1:53" s="28" customFormat="1" ht="21" x14ac:dyDescent="0.35">
      <c r="A371" s="1"/>
      <c r="B371" s="2"/>
      <c r="C371" s="2"/>
      <c r="D371" s="2"/>
      <c r="E371" s="2"/>
      <c r="F371" s="2"/>
      <c r="G371" s="2"/>
      <c r="H371" s="2"/>
      <c r="I371" s="40">
        <v>21900</v>
      </c>
      <c r="J371" s="39">
        <v>0.85514242399999996</v>
      </c>
      <c r="K371" s="28">
        <v>0.49</v>
      </c>
      <c r="N371" s="28">
        <v>0.7</v>
      </c>
      <c r="Q371" s="28">
        <v>0.47</v>
      </c>
      <c r="T371" s="28">
        <v>0.46</v>
      </c>
      <c r="W371" s="28">
        <v>0</v>
      </c>
      <c r="Z371" s="28">
        <v>0.08</v>
      </c>
      <c r="AC371" s="28">
        <v>0.66</v>
      </c>
      <c r="AF371" s="28">
        <v>0.44</v>
      </c>
      <c r="AI371" s="28">
        <v>0.41</v>
      </c>
      <c r="AL371" s="28">
        <v>0.66</v>
      </c>
      <c r="AO371" s="28">
        <v>0.40500000000000003</v>
      </c>
      <c r="AR371" s="28">
        <v>0.41</v>
      </c>
      <c r="AU371" s="28">
        <v>0.48</v>
      </c>
      <c r="AX371" s="28">
        <v>0.11</v>
      </c>
      <c r="BA371" s="28">
        <v>0.17</v>
      </c>
    </row>
    <row r="372" spans="1:53" s="28" customFormat="1" ht="21" x14ac:dyDescent="0.35">
      <c r="A372" s="1"/>
      <c r="B372" s="2"/>
      <c r="C372" s="2"/>
      <c r="D372" s="2"/>
      <c r="E372" s="2"/>
      <c r="F372" s="2"/>
      <c r="G372" s="2"/>
      <c r="H372" s="2"/>
      <c r="I372" s="40">
        <v>21960</v>
      </c>
      <c r="J372" s="39">
        <v>0.84615454550000002</v>
      </c>
      <c r="K372" s="28">
        <v>0.48</v>
      </c>
      <c r="N372" s="28">
        <v>0.7</v>
      </c>
      <c r="Q372" s="28">
        <v>0.47</v>
      </c>
      <c r="T372" s="28">
        <v>0.46</v>
      </c>
      <c r="W372" s="28">
        <v>0</v>
      </c>
      <c r="Z372" s="28">
        <v>0.08</v>
      </c>
      <c r="AC372" s="28">
        <v>0.66</v>
      </c>
      <c r="AF372" s="28">
        <v>0.44</v>
      </c>
      <c r="AI372" s="28">
        <v>0.41</v>
      </c>
      <c r="AL372" s="28">
        <v>0.66</v>
      </c>
      <c r="AO372" s="28">
        <v>0.41</v>
      </c>
      <c r="AR372" s="28">
        <v>0.41</v>
      </c>
      <c r="AU372" s="28">
        <v>0.48</v>
      </c>
      <c r="AX372" s="28">
        <v>0.11</v>
      </c>
      <c r="BA372" s="28">
        <v>0.17</v>
      </c>
    </row>
    <row r="373" spans="1:53" s="28" customFormat="1" ht="21" x14ac:dyDescent="0.35">
      <c r="A373" s="1"/>
      <c r="B373" s="2"/>
      <c r="C373" s="2"/>
      <c r="D373" s="2"/>
      <c r="E373" s="2"/>
      <c r="F373" s="2"/>
      <c r="G373" s="2"/>
      <c r="H373" s="2"/>
      <c r="I373" s="40">
        <v>22020</v>
      </c>
      <c r="J373" s="39">
        <v>0.83907878800000002</v>
      </c>
      <c r="K373" s="28">
        <v>0.48</v>
      </c>
      <c r="N373" s="28">
        <v>0.7</v>
      </c>
      <c r="Q373" s="28">
        <v>0.47</v>
      </c>
      <c r="T373" s="28">
        <v>0.46</v>
      </c>
      <c r="W373" s="28">
        <v>0</v>
      </c>
      <c r="Z373" s="28">
        <v>7.4999999999999997E-2</v>
      </c>
      <c r="AC373" s="28">
        <v>0.66</v>
      </c>
      <c r="AF373" s="28">
        <v>0.44</v>
      </c>
      <c r="AI373" s="28">
        <v>0.41</v>
      </c>
      <c r="AL373" s="28">
        <v>0.66</v>
      </c>
      <c r="AO373" s="28">
        <v>0.41</v>
      </c>
      <c r="AR373" s="28">
        <v>0.41</v>
      </c>
      <c r="AU373" s="28">
        <v>0.48</v>
      </c>
      <c r="AX373" s="28">
        <v>0.1</v>
      </c>
      <c r="BA373" s="28">
        <v>0.16500000000000001</v>
      </c>
    </row>
    <row r="374" spans="1:53" s="28" customFormat="1" ht="21" x14ac:dyDescent="0.35">
      <c r="A374" s="1"/>
      <c r="B374" s="2"/>
      <c r="C374" s="2"/>
      <c r="D374" s="2"/>
      <c r="E374" s="2"/>
      <c r="F374" s="2"/>
      <c r="G374" s="2"/>
      <c r="H374" s="2"/>
      <c r="I374" s="40">
        <v>22080</v>
      </c>
      <c r="J374" s="39">
        <v>0.83167272699999995</v>
      </c>
      <c r="K374" s="28">
        <v>0.48</v>
      </c>
      <c r="N374" s="28">
        <v>0.7</v>
      </c>
      <c r="Q374" s="28">
        <v>0.47</v>
      </c>
      <c r="T374" s="28">
        <v>0.46</v>
      </c>
      <c r="W374" s="28">
        <v>0</v>
      </c>
      <c r="Z374" s="28">
        <v>7.0000000000000007E-2</v>
      </c>
      <c r="AC374" s="28">
        <v>0.66</v>
      </c>
      <c r="AF374" s="28">
        <v>0.44</v>
      </c>
      <c r="AI374" s="28">
        <v>0.41</v>
      </c>
      <c r="AL374" s="28">
        <v>0.66</v>
      </c>
      <c r="AO374" s="28">
        <v>0.41</v>
      </c>
      <c r="AR374" s="28">
        <v>0.41</v>
      </c>
      <c r="AU374" s="28">
        <v>0.48</v>
      </c>
      <c r="AX374" s="28">
        <v>0.1</v>
      </c>
      <c r="BA374" s="28">
        <v>0.16</v>
      </c>
    </row>
    <row r="375" spans="1:53" s="28" customFormat="1" ht="21" x14ac:dyDescent="0.35">
      <c r="A375" s="1"/>
      <c r="B375" s="2"/>
      <c r="C375" s="2"/>
      <c r="D375" s="2"/>
      <c r="E375" s="2"/>
      <c r="F375" s="2"/>
      <c r="G375" s="2"/>
      <c r="H375" s="2"/>
      <c r="I375" s="40">
        <v>22140</v>
      </c>
      <c r="J375" s="39">
        <v>0.82492424200000003</v>
      </c>
      <c r="K375" s="28">
        <v>0.48</v>
      </c>
      <c r="N375" s="28">
        <v>0.7</v>
      </c>
      <c r="Q375" s="28">
        <v>0.47</v>
      </c>
      <c r="T375" s="28">
        <v>0.46</v>
      </c>
      <c r="W375" s="28">
        <v>0</v>
      </c>
      <c r="Z375" s="28">
        <v>7.0000000000000007E-2</v>
      </c>
      <c r="AC375" s="28">
        <v>0.66</v>
      </c>
      <c r="AF375" s="28">
        <v>0.44</v>
      </c>
      <c r="AI375" s="28">
        <v>0.4</v>
      </c>
      <c r="AL375" s="28">
        <v>0.66</v>
      </c>
      <c r="AO375" s="28">
        <v>0.41</v>
      </c>
      <c r="AR375" s="28">
        <v>0.41</v>
      </c>
      <c r="AU375" s="28">
        <v>0.48</v>
      </c>
      <c r="AX375" s="28">
        <v>9.5000000000000001E-2</v>
      </c>
      <c r="BA375" s="28">
        <v>0.155</v>
      </c>
    </row>
    <row r="376" spans="1:53" s="28" customFormat="1" ht="21" x14ac:dyDescent="0.35">
      <c r="A376" s="1"/>
      <c r="B376" s="2"/>
      <c r="C376" s="2"/>
      <c r="D376" s="2"/>
      <c r="E376" s="2"/>
      <c r="F376" s="2"/>
      <c r="G376" s="2"/>
      <c r="H376" s="2"/>
      <c r="I376" s="40">
        <v>22200</v>
      </c>
      <c r="J376" s="39">
        <v>0.81809090900000003</v>
      </c>
      <c r="K376" s="28">
        <v>0.48</v>
      </c>
      <c r="N376" s="28">
        <v>0.69</v>
      </c>
      <c r="Q376" s="28">
        <v>0.47</v>
      </c>
      <c r="T376" s="28">
        <v>0.45</v>
      </c>
      <c r="W376" s="28">
        <v>0</v>
      </c>
      <c r="Z376" s="28">
        <v>0.06</v>
      </c>
      <c r="AC376" s="28">
        <v>0.65</v>
      </c>
      <c r="AF376" s="28">
        <v>0.44</v>
      </c>
      <c r="AI376" s="28">
        <v>0.4</v>
      </c>
      <c r="AL376" s="28">
        <v>0.66</v>
      </c>
      <c r="AO376" s="28">
        <v>0.41</v>
      </c>
      <c r="AR376" s="28">
        <v>0.41</v>
      </c>
      <c r="AU376" s="28">
        <v>0.47</v>
      </c>
      <c r="AX376" s="28">
        <v>8.5000000000000006E-2</v>
      </c>
      <c r="BA376" s="28">
        <v>0.14499999999999999</v>
      </c>
    </row>
    <row r="377" spans="1:53" s="28" customFormat="1" ht="21" x14ac:dyDescent="0.35">
      <c r="A377" s="1"/>
      <c r="B377" s="2"/>
      <c r="C377" s="2"/>
      <c r="D377" s="2"/>
      <c r="E377" s="2"/>
      <c r="F377" s="2"/>
      <c r="G377" s="2"/>
      <c r="H377" s="2"/>
      <c r="I377" s="40">
        <v>22260</v>
      </c>
      <c r="J377" s="39">
        <v>0.81245151550000005</v>
      </c>
      <c r="K377" s="28">
        <v>0.48</v>
      </c>
      <c r="N377" s="28">
        <v>0.69</v>
      </c>
      <c r="Q377" s="28">
        <v>0.46</v>
      </c>
      <c r="T377" s="28">
        <v>0.45</v>
      </c>
      <c r="W377" s="28">
        <v>0</v>
      </c>
      <c r="Z377" s="28">
        <v>0.06</v>
      </c>
      <c r="AC377" s="28">
        <v>0.65</v>
      </c>
      <c r="AF377" s="28">
        <v>0.435</v>
      </c>
      <c r="AI377" s="28">
        <v>0.4</v>
      </c>
      <c r="AL377" s="28">
        <v>0.66</v>
      </c>
      <c r="AO377" s="28">
        <v>0.4</v>
      </c>
      <c r="AR377" s="28">
        <v>0.41</v>
      </c>
      <c r="AU377" s="28">
        <v>0.47</v>
      </c>
      <c r="AX377" s="28">
        <v>7.4999999999999997E-2</v>
      </c>
      <c r="BA377" s="28">
        <v>0.14000000000000001</v>
      </c>
    </row>
    <row r="378" spans="1:53" s="28" customFormat="1" ht="21" x14ac:dyDescent="0.35">
      <c r="A378" s="1"/>
      <c r="B378" s="2"/>
      <c r="C378" s="2"/>
      <c r="D378" s="2"/>
      <c r="E378" s="2"/>
      <c r="F378" s="2"/>
      <c r="G378" s="2"/>
      <c r="H378" s="2"/>
      <c r="I378" s="40">
        <v>22320</v>
      </c>
      <c r="J378" s="39">
        <v>0.8068454545</v>
      </c>
      <c r="K378" s="28">
        <v>0.48</v>
      </c>
      <c r="N378" s="28">
        <v>0.69</v>
      </c>
      <c r="Q378" s="28">
        <v>0.46</v>
      </c>
      <c r="T378" s="28">
        <v>0.45</v>
      </c>
      <c r="W378" s="28">
        <v>0</v>
      </c>
      <c r="Z378" s="28">
        <v>0.05</v>
      </c>
      <c r="AC378" s="28">
        <v>0.65</v>
      </c>
      <c r="AF378" s="28">
        <v>0.43</v>
      </c>
      <c r="AI378" s="28">
        <v>0.4</v>
      </c>
      <c r="AL378" s="28">
        <v>0.65500000000000003</v>
      </c>
      <c r="AO378" s="28">
        <v>0.4</v>
      </c>
      <c r="AR378" s="28">
        <v>0.41</v>
      </c>
      <c r="AU378" s="28">
        <v>0.46500000000000002</v>
      </c>
      <c r="AX378" s="28">
        <v>6.5000000000000002E-2</v>
      </c>
      <c r="BA378" s="28">
        <v>0.13</v>
      </c>
    </row>
    <row r="379" spans="1:53" s="28" customFormat="1" ht="21" x14ac:dyDescent="0.35">
      <c r="A379" s="1"/>
      <c r="B379" s="2"/>
      <c r="C379" s="2"/>
      <c r="D379" s="2"/>
      <c r="E379" s="2"/>
      <c r="F379" s="2"/>
      <c r="G379" s="2"/>
      <c r="H379" s="2"/>
      <c r="I379" s="40">
        <v>22380</v>
      </c>
      <c r="J379" s="39">
        <v>0.80047272749999998</v>
      </c>
      <c r="K379" s="28">
        <v>0.48</v>
      </c>
      <c r="N379" s="28">
        <v>0.69</v>
      </c>
      <c r="Q379" s="28">
        <v>0.46</v>
      </c>
      <c r="T379" s="28">
        <v>0.45</v>
      </c>
      <c r="W379" s="28">
        <v>0</v>
      </c>
      <c r="Z379" s="28">
        <v>0.05</v>
      </c>
      <c r="AC379" s="28">
        <v>0.65</v>
      </c>
      <c r="AF379" s="28">
        <v>0.43</v>
      </c>
      <c r="AI379" s="28">
        <v>0.39</v>
      </c>
      <c r="AL379" s="28">
        <v>0.65</v>
      </c>
      <c r="AO379" s="28">
        <v>0.4</v>
      </c>
      <c r="AR379" s="28">
        <v>0.40500000000000003</v>
      </c>
      <c r="AU379" s="28">
        <v>0.46</v>
      </c>
      <c r="AX379" s="28">
        <v>5.5E-2</v>
      </c>
      <c r="BA379" s="28">
        <v>0.12</v>
      </c>
    </row>
    <row r="380" spans="1:53" s="28" customFormat="1" ht="21" x14ac:dyDescent="0.35">
      <c r="A380" s="1"/>
      <c r="B380" s="2"/>
      <c r="C380" s="2"/>
      <c r="D380" s="2"/>
      <c r="E380" s="2"/>
      <c r="F380" s="2"/>
      <c r="G380" s="2"/>
      <c r="H380" s="2"/>
      <c r="I380" s="40">
        <v>22440</v>
      </c>
      <c r="J380" s="39">
        <v>0.79532121200000006</v>
      </c>
      <c r="K380" s="28">
        <v>0.48</v>
      </c>
      <c r="N380" s="28">
        <v>0.68500000000000005</v>
      </c>
      <c r="Q380" s="28">
        <v>0.46</v>
      </c>
      <c r="T380" s="28">
        <v>0.44500000000000001</v>
      </c>
      <c r="W380" s="28">
        <v>0</v>
      </c>
      <c r="Z380" s="28">
        <v>4.4999999999999998E-2</v>
      </c>
      <c r="AC380" s="28">
        <v>0.64</v>
      </c>
      <c r="AF380" s="28">
        <v>0.43</v>
      </c>
      <c r="AI380" s="28">
        <v>0.39</v>
      </c>
      <c r="AL380" s="28">
        <v>0.65</v>
      </c>
      <c r="AO380" s="28">
        <v>0.39500000000000002</v>
      </c>
      <c r="AR380" s="28">
        <v>0.4</v>
      </c>
      <c r="AU380" s="28">
        <v>0.45500000000000002</v>
      </c>
      <c r="AX380" s="28">
        <v>4.4999999999999998E-2</v>
      </c>
      <c r="BA380" s="28">
        <v>0.11</v>
      </c>
    </row>
    <row r="381" spans="1:53" s="28" customFormat="1" ht="21" x14ac:dyDescent="0.35">
      <c r="A381" s="1"/>
      <c r="B381" s="2"/>
      <c r="C381" s="2"/>
      <c r="D381" s="2"/>
      <c r="E381" s="2"/>
      <c r="F381" s="2"/>
      <c r="G381" s="2"/>
      <c r="H381" s="2"/>
      <c r="I381" s="40">
        <v>22500</v>
      </c>
      <c r="J381" s="39">
        <v>0.79004545449999997</v>
      </c>
      <c r="K381" s="28">
        <v>0.48</v>
      </c>
      <c r="N381" s="28">
        <v>0.68</v>
      </c>
      <c r="Q381" s="28">
        <v>0.45500000000000002</v>
      </c>
      <c r="T381" s="28">
        <v>0.44</v>
      </c>
      <c r="W381" s="28">
        <v>0</v>
      </c>
      <c r="Z381" s="28">
        <v>0.04</v>
      </c>
      <c r="AC381" s="28">
        <v>0.64</v>
      </c>
      <c r="AF381" s="28">
        <v>0.42499999999999999</v>
      </c>
      <c r="AI381" s="28">
        <v>0.39</v>
      </c>
      <c r="AL381" s="28">
        <v>0.64500000000000002</v>
      </c>
      <c r="AO381" s="28">
        <v>0.39</v>
      </c>
      <c r="AR381" s="28">
        <v>0.4</v>
      </c>
      <c r="AU381" s="28">
        <v>0.45</v>
      </c>
      <c r="AX381" s="28">
        <v>3.5000000000000003E-2</v>
      </c>
      <c r="BA381" s="28">
        <v>0.1</v>
      </c>
    </row>
    <row r="382" spans="1:53" s="28" customFormat="1" ht="21" x14ac:dyDescent="0.35">
      <c r="A382" s="1"/>
      <c r="B382" s="2"/>
      <c r="C382" s="2"/>
      <c r="D382" s="2"/>
      <c r="E382" s="2"/>
      <c r="F382" s="2"/>
      <c r="G382" s="2"/>
      <c r="H382" s="2"/>
      <c r="I382" s="40">
        <v>22560</v>
      </c>
      <c r="J382" s="39">
        <v>0.78549999999999998</v>
      </c>
      <c r="K382" s="28">
        <v>0.48</v>
      </c>
      <c r="N382" s="28">
        <v>0.68</v>
      </c>
      <c r="Q382" s="28">
        <v>0.45</v>
      </c>
      <c r="T382" s="28">
        <v>0.44</v>
      </c>
      <c r="W382" s="28">
        <v>0</v>
      </c>
      <c r="Z382" s="28">
        <v>0.04</v>
      </c>
      <c r="AC382" s="28">
        <v>0.64</v>
      </c>
      <c r="AF382" s="28">
        <v>0.42</v>
      </c>
      <c r="AI382" s="28">
        <v>0.38500000000000001</v>
      </c>
      <c r="AL382" s="28">
        <v>0.64</v>
      </c>
      <c r="AO382" s="28">
        <v>0.39</v>
      </c>
      <c r="AR382" s="28">
        <v>0.39500000000000002</v>
      </c>
      <c r="AU382" s="28">
        <v>0.44500000000000001</v>
      </c>
      <c r="AX382" s="28">
        <v>2.5000000000000001E-2</v>
      </c>
      <c r="BA382" s="28">
        <v>0.09</v>
      </c>
    </row>
    <row r="383" spans="1:53" s="28" customFormat="1" ht="21" x14ac:dyDescent="0.35">
      <c r="A383" s="1"/>
      <c r="B383" s="2"/>
      <c r="C383" s="2"/>
      <c r="D383" s="2"/>
      <c r="E383" s="2"/>
      <c r="F383" s="2"/>
      <c r="G383" s="2"/>
      <c r="H383" s="2"/>
      <c r="I383" s="40">
        <v>22620</v>
      </c>
      <c r="J383" s="39">
        <v>0.78097878799999998</v>
      </c>
      <c r="K383" s="28">
        <v>0.47499999999999998</v>
      </c>
      <c r="N383" s="28">
        <v>0.68</v>
      </c>
      <c r="Q383" s="28">
        <v>0.45</v>
      </c>
      <c r="T383" s="28">
        <v>0.44</v>
      </c>
      <c r="W383" s="28">
        <v>0</v>
      </c>
      <c r="Z383" s="28">
        <v>0.03</v>
      </c>
      <c r="AC383" s="28">
        <v>0.63500000000000001</v>
      </c>
      <c r="AF383" s="28">
        <v>0.42</v>
      </c>
      <c r="AI383" s="28">
        <v>0.38</v>
      </c>
      <c r="AL383" s="28">
        <v>0.64</v>
      </c>
      <c r="AO383" s="28">
        <v>0.38</v>
      </c>
      <c r="AR383" s="28">
        <v>0.39</v>
      </c>
      <c r="AU383" s="28">
        <v>0.44</v>
      </c>
      <c r="AX383" s="28">
        <v>1.4999999999999999E-2</v>
      </c>
      <c r="BA383" s="28">
        <v>0.08</v>
      </c>
    </row>
    <row r="384" spans="1:53" s="28" customFormat="1" ht="21" x14ac:dyDescent="0.35">
      <c r="A384" s="1"/>
      <c r="B384" s="2"/>
      <c r="C384" s="2"/>
      <c r="D384" s="2"/>
      <c r="E384" s="2"/>
      <c r="F384" s="2"/>
      <c r="G384" s="2"/>
      <c r="H384" s="2"/>
      <c r="I384" s="40">
        <v>22680</v>
      </c>
      <c r="J384" s="39">
        <v>0.77515757600000001</v>
      </c>
      <c r="K384" s="28">
        <v>0.47</v>
      </c>
      <c r="N384" s="28">
        <v>0.68</v>
      </c>
      <c r="Q384" s="28">
        <v>0.45</v>
      </c>
      <c r="T384" s="28">
        <v>0.435</v>
      </c>
      <c r="W384" s="28">
        <v>0</v>
      </c>
      <c r="Z384" s="28">
        <v>0.03</v>
      </c>
      <c r="AC384" s="28">
        <v>0.63</v>
      </c>
      <c r="AF384" s="28">
        <v>0.41499999999999998</v>
      </c>
      <c r="AI384" s="28">
        <v>0.38</v>
      </c>
      <c r="AL384" s="28">
        <v>0.63</v>
      </c>
      <c r="AO384" s="28">
        <v>0.38</v>
      </c>
      <c r="AR384" s="28">
        <v>0.38500000000000001</v>
      </c>
      <c r="AU384" s="28">
        <v>0.43</v>
      </c>
      <c r="AX384" s="28">
        <v>0.01</v>
      </c>
      <c r="BA384" s="28">
        <v>7.0000000000000007E-2</v>
      </c>
    </row>
    <row r="385" spans="1:53" s="28" customFormat="1" ht="21" x14ac:dyDescent="0.35">
      <c r="A385" s="1"/>
      <c r="B385" s="2"/>
      <c r="C385" s="2"/>
      <c r="D385" s="2"/>
      <c r="E385" s="2"/>
      <c r="F385" s="2"/>
      <c r="G385" s="2"/>
      <c r="H385" s="2"/>
      <c r="I385" s="40">
        <v>22740</v>
      </c>
      <c r="J385" s="39">
        <v>0.76874848500000004</v>
      </c>
      <c r="K385" s="28">
        <v>0.47</v>
      </c>
      <c r="N385" s="28">
        <v>0.67</v>
      </c>
      <c r="Q385" s="28">
        <v>0.44500000000000001</v>
      </c>
      <c r="T385" s="28">
        <v>0.43</v>
      </c>
      <c r="W385" s="28">
        <v>0</v>
      </c>
      <c r="Z385" s="28">
        <v>0.02</v>
      </c>
      <c r="AC385" s="28">
        <v>0.63</v>
      </c>
      <c r="AF385" s="28">
        <v>0.41</v>
      </c>
      <c r="AI385" s="28">
        <v>0.37</v>
      </c>
      <c r="AL385" s="28">
        <v>0.63</v>
      </c>
      <c r="AO385" s="28">
        <v>0.375</v>
      </c>
      <c r="AR385" s="28">
        <v>0.38</v>
      </c>
      <c r="AU385" s="28">
        <v>0.42499999999999999</v>
      </c>
      <c r="AX385" s="28">
        <v>0</v>
      </c>
      <c r="BA385" s="28">
        <v>5.5E-2</v>
      </c>
    </row>
    <row r="386" spans="1:53" s="28" customFormat="1" ht="21" x14ac:dyDescent="0.35">
      <c r="A386" s="1"/>
      <c r="B386" s="2"/>
      <c r="C386" s="2"/>
      <c r="D386" s="2"/>
      <c r="E386" s="2"/>
      <c r="F386" s="2"/>
      <c r="G386" s="2"/>
      <c r="H386" s="2"/>
      <c r="I386" s="40">
        <v>22800</v>
      </c>
      <c r="J386" s="39">
        <v>0.761412121</v>
      </c>
      <c r="K386" s="28">
        <v>0.47</v>
      </c>
      <c r="N386" s="28">
        <v>0.67</v>
      </c>
      <c r="Q386" s="28">
        <v>0.44</v>
      </c>
      <c r="T386" s="28">
        <v>0.43</v>
      </c>
      <c r="W386" s="28">
        <v>0</v>
      </c>
      <c r="Z386" s="28">
        <v>1.4999999999999999E-2</v>
      </c>
      <c r="AC386" s="28">
        <v>0.62</v>
      </c>
      <c r="AF386" s="28">
        <v>0.41</v>
      </c>
      <c r="AI386" s="28">
        <v>0.37</v>
      </c>
      <c r="AL386" s="28">
        <v>0.62</v>
      </c>
      <c r="AO386" s="28">
        <v>0.37</v>
      </c>
      <c r="AR386" s="28">
        <v>0.375</v>
      </c>
      <c r="AU386" s="28">
        <v>0.41499999999999998</v>
      </c>
      <c r="AX386" s="28">
        <v>0</v>
      </c>
      <c r="BA386" s="28">
        <v>4.4999999999999998E-2</v>
      </c>
    </row>
    <row r="387" spans="1:53" s="28" customFormat="1" ht="21" x14ac:dyDescent="0.35">
      <c r="A387" s="1"/>
      <c r="B387" s="2"/>
      <c r="C387" s="2"/>
      <c r="D387" s="2"/>
      <c r="E387" s="2"/>
      <c r="F387" s="2"/>
      <c r="G387" s="2"/>
      <c r="H387" s="2"/>
      <c r="I387" s="40">
        <v>22860</v>
      </c>
      <c r="J387" s="39">
        <v>0.75682424250000002</v>
      </c>
      <c r="K387" s="28">
        <v>0.47</v>
      </c>
      <c r="N387" s="28">
        <v>0.66500000000000004</v>
      </c>
      <c r="Q387" s="28">
        <v>0.44</v>
      </c>
      <c r="T387" s="28">
        <v>0.42499999999999999</v>
      </c>
      <c r="W387" s="28">
        <v>0</v>
      </c>
      <c r="Z387" s="28">
        <v>0.01</v>
      </c>
      <c r="AC387" s="28">
        <v>0.62</v>
      </c>
      <c r="AF387" s="28">
        <v>0.4</v>
      </c>
      <c r="AI387" s="28">
        <v>0.36499999999999999</v>
      </c>
      <c r="AL387" s="28">
        <v>0.61499999999999999</v>
      </c>
      <c r="AO387" s="28">
        <v>0.36</v>
      </c>
      <c r="AR387" s="28">
        <v>0.37</v>
      </c>
      <c r="AU387" s="28">
        <v>0.40500000000000003</v>
      </c>
      <c r="AX387" s="28">
        <v>0</v>
      </c>
      <c r="BA387" s="28">
        <v>0.03</v>
      </c>
    </row>
    <row r="388" spans="1:53" s="28" customFormat="1" ht="21" x14ac:dyDescent="0.35">
      <c r="A388" s="1"/>
      <c r="B388" s="2"/>
      <c r="C388" s="2"/>
      <c r="D388" s="2"/>
      <c r="E388" s="2"/>
      <c r="F388" s="2"/>
      <c r="G388" s="2"/>
      <c r="H388" s="2"/>
      <c r="I388" s="40">
        <v>22920</v>
      </c>
      <c r="J388" s="39">
        <v>0.75274848449999998</v>
      </c>
      <c r="K388" s="28">
        <v>0.47</v>
      </c>
      <c r="N388" s="28">
        <v>0.66</v>
      </c>
      <c r="Q388" s="28">
        <v>0.43</v>
      </c>
      <c r="T388" s="28">
        <v>0.42</v>
      </c>
      <c r="W388" s="28">
        <v>0</v>
      </c>
      <c r="Z388" s="28">
        <v>0</v>
      </c>
      <c r="AC388" s="28">
        <v>0.61</v>
      </c>
      <c r="AF388" s="28">
        <v>0.4</v>
      </c>
      <c r="AI388" s="28">
        <v>0.36</v>
      </c>
      <c r="AL388" s="28">
        <v>0.61</v>
      </c>
      <c r="AO388" s="28">
        <v>0.35499999999999998</v>
      </c>
      <c r="AR388" s="28">
        <v>0.36</v>
      </c>
      <c r="AU388" s="28">
        <v>0.39500000000000002</v>
      </c>
      <c r="AX388" s="28">
        <v>0</v>
      </c>
      <c r="BA388" s="28">
        <v>1.4999999999999999E-2</v>
      </c>
    </row>
    <row r="389" spans="1:53" s="28" customFormat="1" ht="21" x14ac:dyDescent="0.35">
      <c r="A389" s="1"/>
      <c r="B389" s="2"/>
      <c r="C389" s="2"/>
      <c r="D389" s="2"/>
      <c r="E389" s="2"/>
      <c r="F389" s="2"/>
      <c r="G389" s="2"/>
      <c r="H389" s="2"/>
      <c r="I389" s="40">
        <v>22980</v>
      </c>
      <c r="J389" s="39">
        <v>0.74849090949999997</v>
      </c>
      <c r="K389" s="28">
        <v>0.47</v>
      </c>
      <c r="N389" s="28">
        <v>0.66</v>
      </c>
      <c r="Q389" s="28">
        <v>0.43</v>
      </c>
      <c r="T389" s="28">
        <v>0.42</v>
      </c>
      <c r="W389" s="28">
        <v>0</v>
      </c>
      <c r="Z389" s="28">
        <v>0</v>
      </c>
      <c r="AC389" s="28">
        <v>0.61</v>
      </c>
      <c r="AF389" s="28">
        <v>0.39</v>
      </c>
      <c r="AI389" s="28">
        <v>0.35499999999999998</v>
      </c>
      <c r="AL389" s="28">
        <v>0.6</v>
      </c>
      <c r="AO389" s="28">
        <v>0.35</v>
      </c>
      <c r="AR389" s="28">
        <v>0.35499999999999998</v>
      </c>
      <c r="AU389" s="28">
        <v>0.38500000000000001</v>
      </c>
      <c r="AX389" s="28">
        <v>0</v>
      </c>
      <c r="BA389" s="28">
        <v>0.01</v>
      </c>
    </row>
    <row r="390" spans="1:53" s="28" customFormat="1" ht="21" x14ac:dyDescent="0.35">
      <c r="A390" s="1"/>
      <c r="B390" s="2"/>
      <c r="C390" s="2"/>
      <c r="D390" s="2"/>
      <c r="E390" s="2"/>
      <c r="F390" s="2"/>
      <c r="G390" s="2"/>
      <c r="H390" s="2"/>
      <c r="I390" s="40">
        <v>23040</v>
      </c>
      <c r="J390" s="39">
        <v>0.74346060599999997</v>
      </c>
      <c r="K390" s="28">
        <v>0.47</v>
      </c>
      <c r="N390" s="28">
        <v>0.65500000000000003</v>
      </c>
      <c r="Q390" s="28">
        <v>0.43</v>
      </c>
      <c r="T390" s="28">
        <v>0.41</v>
      </c>
      <c r="W390" s="28">
        <v>0</v>
      </c>
      <c r="Z390" s="28">
        <v>0</v>
      </c>
      <c r="AC390" s="28">
        <v>0.6</v>
      </c>
      <c r="AF390" s="28">
        <v>0.39</v>
      </c>
      <c r="AI390" s="28">
        <v>0.35</v>
      </c>
      <c r="AL390" s="28">
        <v>0.59499999999999997</v>
      </c>
      <c r="AO390" s="28">
        <v>0.34</v>
      </c>
      <c r="AR390" s="28">
        <v>0.34499999999999997</v>
      </c>
      <c r="AU390" s="28">
        <v>0.38</v>
      </c>
      <c r="AX390" s="28">
        <v>0</v>
      </c>
      <c r="BA390" s="28">
        <v>0</v>
      </c>
    </row>
    <row r="391" spans="1:53" s="28" customFormat="1" ht="21" x14ac:dyDescent="0.35">
      <c r="A391" s="1"/>
      <c r="B391" s="2"/>
      <c r="C391" s="2"/>
      <c r="D391" s="2"/>
      <c r="E391" s="2"/>
      <c r="F391" s="2"/>
      <c r="G391" s="2"/>
      <c r="H391" s="2"/>
      <c r="I391" s="40">
        <v>23100</v>
      </c>
      <c r="J391" s="39">
        <v>0.738581818</v>
      </c>
      <c r="K391" s="28">
        <v>0.46</v>
      </c>
      <c r="N391" s="28">
        <v>0.65</v>
      </c>
      <c r="Q391" s="28">
        <v>0.42</v>
      </c>
      <c r="T391" s="28">
        <v>0.41</v>
      </c>
      <c r="W391" s="28">
        <v>0</v>
      </c>
      <c r="Z391" s="28">
        <v>0</v>
      </c>
      <c r="AC391" s="28">
        <v>0.6</v>
      </c>
      <c r="AF391" s="28">
        <v>0.38</v>
      </c>
      <c r="AI391" s="28">
        <v>0.34499999999999997</v>
      </c>
      <c r="AL391" s="28">
        <v>0.58499999999999996</v>
      </c>
      <c r="AO391" s="28">
        <v>0.33</v>
      </c>
      <c r="AR391" s="28">
        <v>0.34</v>
      </c>
      <c r="AU391" s="28">
        <v>0.37</v>
      </c>
      <c r="AX391" s="28">
        <v>0</v>
      </c>
      <c r="BA391" s="28">
        <v>0</v>
      </c>
    </row>
    <row r="392" spans="1:53" s="28" customFormat="1" ht="21" x14ac:dyDescent="0.35">
      <c r="A392" s="1"/>
      <c r="B392" s="2"/>
      <c r="C392" s="2"/>
      <c r="D392" s="2"/>
      <c r="E392" s="2"/>
      <c r="F392" s="2"/>
      <c r="G392" s="2"/>
      <c r="H392" s="2"/>
      <c r="I392" s="40">
        <v>23160</v>
      </c>
      <c r="J392" s="39">
        <v>0.735639394</v>
      </c>
      <c r="K392" s="28">
        <v>0.46</v>
      </c>
      <c r="N392" s="28">
        <v>0.65</v>
      </c>
      <c r="Q392" s="28">
        <v>0.42</v>
      </c>
      <c r="T392" s="28">
        <v>0.41</v>
      </c>
      <c r="W392" s="28">
        <v>0</v>
      </c>
      <c r="Z392" s="28">
        <v>0</v>
      </c>
      <c r="AC392" s="28">
        <v>0.59499999999999997</v>
      </c>
      <c r="AF392" s="28">
        <v>0.38</v>
      </c>
      <c r="AI392" s="28">
        <v>0.34</v>
      </c>
      <c r="AL392" s="28">
        <v>0.57999999999999996</v>
      </c>
      <c r="AO392" s="28">
        <v>0.32500000000000001</v>
      </c>
      <c r="AR392" s="28">
        <v>0.33</v>
      </c>
      <c r="AU392" s="28">
        <v>0.36</v>
      </c>
      <c r="AX392" s="28">
        <v>0</v>
      </c>
      <c r="BA392" s="28">
        <v>0</v>
      </c>
    </row>
    <row r="393" spans="1:53" s="28" customFormat="1" ht="21" x14ac:dyDescent="0.35">
      <c r="A393" s="1"/>
      <c r="B393" s="2"/>
      <c r="C393" s="2"/>
      <c r="D393" s="2"/>
      <c r="E393" s="2"/>
      <c r="F393" s="2"/>
      <c r="G393" s="2"/>
      <c r="H393" s="2"/>
      <c r="I393" s="40">
        <v>23220</v>
      </c>
      <c r="J393" s="39">
        <v>0.7312969695</v>
      </c>
      <c r="K393" s="28">
        <v>0.46</v>
      </c>
      <c r="N393" s="28">
        <v>0.65</v>
      </c>
      <c r="Q393" s="28">
        <v>0.42</v>
      </c>
      <c r="T393" s="28">
        <v>0.40500000000000003</v>
      </c>
      <c r="W393" s="28">
        <v>0</v>
      </c>
      <c r="Z393" s="28">
        <v>0</v>
      </c>
      <c r="AC393" s="28">
        <v>0.59</v>
      </c>
      <c r="AF393" s="28">
        <v>0.37</v>
      </c>
      <c r="AI393" s="28">
        <v>0.33500000000000002</v>
      </c>
      <c r="AL393" s="28">
        <v>0.56999999999999995</v>
      </c>
      <c r="AO393" s="28">
        <v>0.32</v>
      </c>
      <c r="AR393" s="28">
        <v>0.32500000000000001</v>
      </c>
      <c r="AU393" s="28">
        <v>0.35</v>
      </c>
      <c r="AX393" s="28">
        <v>0</v>
      </c>
      <c r="BA393" s="28">
        <v>0</v>
      </c>
    </row>
    <row r="394" spans="1:53" s="28" customFormat="1" ht="21" x14ac:dyDescent="0.35">
      <c r="A394" s="1"/>
      <c r="B394" s="2"/>
      <c r="C394" s="2"/>
      <c r="D394" s="2"/>
      <c r="E394" s="2"/>
      <c r="F394" s="2"/>
      <c r="G394" s="2"/>
      <c r="H394" s="2"/>
      <c r="I394" s="40">
        <v>23280</v>
      </c>
      <c r="J394" s="39">
        <v>0.72722727249999997</v>
      </c>
      <c r="K394" s="28">
        <v>0.46</v>
      </c>
      <c r="N394" s="28">
        <v>0.64</v>
      </c>
      <c r="Q394" s="28">
        <v>0.41</v>
      </c>
      <c r="T394" s="28">
        <v>0.4</v>
      </c>
      <c r="W394" s="28">
        <v>0</v>
      </c>
      <c r="Z394" s="28">
        <v>0</v>
      </c>
      <c r="AC394" s="28">
        <v>0.58499999999999996</v>
      </c>
      <c r="AF394" s="28">
        <v>0.37</v>
      </c>
      <c r="AI394" s="28">
        <v>0.33</v>
      </c>
      <c r="AL394" s="28">
        <v>0.56499999999999995</v>
      </c>
      <c r="AO394" s="28">
        <v>0.31</v>
      </c>
      <c r="AR394" s="28">
        <v>0.315</v>
      </c>
      <c r="AU394" s="28">
        <v>0.34</v>
      </c>
      <c r="AX394" s="28">
        <v>0</v>
      </c>
      <c r="BA394" s="28">
        <v>0</v>
      </c>
    </row>
    <row r="395" spans="1:53" s="28" customFormat="1" ht="21" x14ac:dyDescent="0.35">
      <c r="A395" s="1"/>
      <c r="B395" s="2"/>
      <c r="C395" s="2"/>
      <c r="D395" s="2"/>
      <c r="E395" s="2"/>
      <c r="F395" s="2"/>
      <c r="G395" s="2"/>
      <c r="H395" s="2"/>
      <c r="I395" s="40">
        <v>23340</v>
      </c>
      <c r="J395" s="39">
        <v>0.72322424249999995</v>
      </c>
      <c r="K395" s="28">
        <v>0.46</v>
      </c>
      <c r="N395" s="28">
        <v>0.64</v>
      </c>
      <c r="Q395" s="28">
        <v>0.41</v>
      </c>
      <c r="T395" s="28">
        <v>0.4</v>
      </c>
      <c r="W395" s="28">
        <v>0</v>
      </c>
      <c r="Z395" s="28">
        <v>0</v>
      </c>
      <c r="AC395" s="28">
        <v>0.57999999999999996</v>
      </c>
      <c r="AF395" s="28">
        <v>0.36</v>
      </c>
      <c r="AI395" s="28">
        <v>0.33</v>
      </c>
      <c r="AL395" s="28">
        <v>0.56000000000000005</v>
      </c>
      <c r="AO395" s="28">
        <v>0.3</v>
      </c>
      <c r="AR395" s="28">
        <v>0.31</v>
      </c>
      <c r="AU395" s="28">
        <v>0.33</v>
      </c>
      <c r="AX395" s="28">
        <v>0</v>
      </c>
      <c r="BA395" s="28">
        <v>0</v>
      </c>
    </row>
    <row r="396" spans="1:53" s="28" customFormat="1" ht="21" x14ac:dyDescent="0.35">
      <c r="A396" s="1"/>
      <c r="B396" s="2"/>
      <c r="C396" s="2"/>
      <c r="D396" s="2"/>
      <c r="E396" s="2"/>
      <c r="F396" s="2"/>
      <c r="G396" s="2"/>
      <c r="H396" s="2"/>
      <c r="I396" s="40">
        <v>23400</v>
      </c>
      <c r="J396" s="39">
        <v>0.71787575749999999</v>
      </c>
      <c r="K396" s="28">
        <v>0.46</v>
      </c>
      <c r="N396" s="28">
        <v>0.64</v>
      </c>
      <c r="Q396" s="28">
        <v>0.41</v>
      </c>
      <c r="T396" s="28">
        <v>0.39500000000000002</v>
      </c>
      <c r="W396" s="28">
        <v>0</v>
      </c>
      <c r="Z396" s="28">
        <v>0</v>
      </c>
      <c r="AC396" s="28">
        <v>0.57499999999999996</v>
      </c>
      <c r="AF396" s="28">
        <v>0.36</v>
      </c>
      <c r="AI396" s="28">
        <v>0.32</v>
      </c>
      <c r="AL396" s="28">
        <v>0.55000000000000004</v>
      </c>
      <c r="AO396" s="28">
        <v>0.29499999999999998</v>
      </c>
      <c r="AR396" s="28">
        <v>0.3</v>
      </c>
      <c r="AU396" s="28">
        <v>0.32</v>
      </c>
      <c r="AX396" s="28">
        <v>0</v>
      </c>
      <c r="BA396" s="28">
        <v>0</v>
      </c>
    </row>
    <row r="397" spans="1:53" s="28" customFormat="1" ht="21" x14ac:dyDescent="0.35">
      <c r="A397" s="1"/>
      <c r="B397" s="2"/>
      <c r="C397" s="2"/>
      <c r="D397" s="2"/>
      <c r="E397" s="2"/>
      <c r="F397" s="2"/>
      <c r="G397" s="2"/>
      <c r="H397" s="2"/>
      <c r="I397" s="40">
        <v>23460</v>
      </c>
      <c r="J397" s="39">
        <v>0.71299696950000002</v>
      </c>
      <c r="K397" s="28">
        <v>0.46</v>
      </c>
      <c r="N397" s="28">
        <v>0.63500000000000001</v>
      </c>
      <c r="Q397" s="28">
        <v>0.4</v>
      </c>
      <c r="T397" s="28">
        <v>0.39</v>
      </c>
      <c r="W397" s="28">
        <v>0</v>
      </c>
      <c r="Z397" s="28">
        <v>0</v>
      </c>
      <c r="AC397" s="28">
        <v>0.56999999999999995</v>
      </c>
      <c r="AF397" s="28">
        <v>0.35</v>
      </c>
      <c r="AI397" s="28">
        <v>0.32</v>
      </c>
      <c r="AL397" s="28">
        <v>0.54</v>
      </c>
      <c r="AO397" s="28">
        <v>0.28999999999999998</v>
      </c>
      <c r="AR397" s="28">
        <v>0.29499999999999998</v>
      </c>
      <c r="AU397" s="28">
        <v>0.31</v>
      </c>
      <c r="AX397" s="28">
        <v>0</v>
      </c>
      <c r="BA397" s="28">
        <v>0</v>
      </c>
    </row>
    <row r="398" spans="1:53" s="28" customFormat="1" ht="21" x14ac:dyDescent="0.35">
      <c r="A398" s="1"/>
      <c r="B398" s="2"/>
      <c r="C398" s="2"/>
      <c r="D398" s="2"/>
      <c r="E398" s="2"/>
      <c r="F398" s="2"/>
      <c r="G398" s="2"/>
      <c r="H398" s="2"/>
      <c r="I398" s="40">
        <v>23520</v>
      </c>
      <c r="J398" s="39">
        <v>0.70951212100000005</v>
      </c>
      <c r="K398" s="28">
        <v>0.46</v>
      </c>
      <c r="N398" s="28">
        <v>0.63</v>
      </c>
      <c r="Q398" s="28">
        <v>0.4</v>
      </c>
      <c r="T398" s="28">
        <v>0.39</v>
      </c>
      <c r="W398" s="28">
        <v>0</v>
      </c>
      <c r="Z398" s="28">
        <v>0</v>
      </c>
      <c r="AC398" s="28">
        <v>0.56499999999999995</v>
      </c>
      <c r="AF398" s="28">
        <v>0.35</v>
      </c>
      <c r="AI398" s="28">
        <v>0.31</v>
      </c>
      <c r="AL398" s="28">
        <v>0.53500000000000003</v>
      </c>
      <c r="AO398" s="28">
        <v>0.28000000000000003</v>
      </c>
      <c r="AR398" s="28">
        <v>0.28499999999999998</v>
      </c>
      <c r="AU398" s="28">
        <v>0.30499999999999999</v>
      </c>
      <c r="AX398" s="28">
        <v>0</v>
      </c>
      <c r="BA398" s="28">
        <v>0</v>
      </c>
    </row>
    <row r="399" spans="1:53" s="28" customFormat="1" ht="21" x14ac:dyDescent="0.35">
      <c r="A399" s="1"/>
      <c r="B399" s="2"/>
      <c r="C399" s="2"/>
      <c r="D399" s="2"/>
      <c r="E399" s="2"/>
      <c r="F399" s="2"/>
      <c r="G399" s="2"/>
      <c r="H399" s="2"/>
      <c r="I399" s="40">
        <v>23580</v>
      </c>
      <c r="J399" s="39">
        <v>0.70510909099999997</v>
      </c>
      <c r="K399" s="28">
        <v>0.45500000000000002</v>
      </c>
      <c r="N399" s="28">
        <v>0.63</v>
      </c>
      <c r="Q399" s="28">
        <v>0.4</v>
      </c>
      <c r="T399" s="28">
        <v>0.38500000000000001</v>
      </c>
      <c r="W399" s="28">
        <v>0</v>
      </c>
      <c r="Z399" s="28">
        <v>0</v>
      </c>
      <c r="AC399" s="28">
        <v>0.56000000000000005</v>
      </c>
      <c r="AF399" s="28">
        <v>0.34</v>
      </c>
      <c r="AI399" s="28">
        <v>0.31</v>
      </c>
      <c r="AL399" s="28">
        <v>0.52500000000000002</v>
      </c>
      <c r="AO399" s="28">
        <v>0.27</v>
      </c>
      <c r="AR399" s="28">
        <v>0.28000000000000003</v>
      </c>
      <c r="AU399" s="28">
        <v>0.29499999999999998</v>
      </c>
      <c r="AX399" s="28">
        <v>0</v>
      </c>
      <c r="BA399" s="28">
        <v>0</v>
      </c>
    </row>
    <row r="400" spans="1:53" s="28" customFormat="1" ht="21" x14ac:dyDescent="0.35">
      <c r="A400" s="1"/>
      <c r="B400" s="2"/>
      <c r="C400" s="2"/>
      <c r="D400" s="2"/>
      <c r="E400" s="2"/>
      <c r="F400" s="2"/>
      <c r="G400" s="2"/>
      <c r="H400" s="2"/>
      <c r="I400" s="40">
        <v>23640</v>
      </c>
      <c r="J400" s="39">
        <v>0.700866667</v>
      </c>
      <c r="K400" s="28">
        <v>0.45</v>
      </c>
      <c r="N400" s="28">
        <v>0.62</v>
      </c>
      <c r="Q400" s="28">
        <v>0.39</v>
      </c>
      <c r="T400" s="28">
        <v>0.38</v>
      </c>
      <c r="W400" s="28">
        <v>0</v>
      </c>
      <c r="Z400" s="28">
        <v>0</v>
      </c>
      <c r="AC400" s="28">
        <v>0.55500000000000005</v>
      </c>
      <c r="AF400" s="28">
        <v>0.34</v>
      </c>
      <c r="AI400" s="28">
        <v>0.3</v>
      </c>
      <c r="AL400" s="28">
        <v>0.52</v>
      </c>
      <c r="AO400" s="28">
        <v>0.26</v>
      </c>
      <c r="AR400" s="28">
        <v>0.27</v>
      </c>
      <c r="AU400" s="28">
        <v>0.28499999999999998</v>
      </c>
      <c r="AX400" s="28">
        <v>0</v>
      </c>
      <c r="BA400" s="28">
        <v>0</v>
      </c>
    </row>
    <row r="401" spans="1:53" s="28" customFormat="1" ht="21" x14ac:dyDescent="0.35">
      <c r="A401" s="1"/>
      <c r="B401" s="2"/>
      <c r="C401" s="2"/>
      <c r="D401" s="2"/>
      <c r="E401" s="2"/>
      <c r="F401" s="2"/>
      <c r="G401" s="2"/>
      <c r="H401" s="2"/>
      <c r="I401" s="40">
        <v>23700</v>
      </c>
      <c r="J401" s="39">
        <v>0.69619696949999998</v>
      </c>
      <c r="K401" s="28">
        <v>0.45</v>
      </c>
      <c r="N401" s="28">
        <v>0.62</v>
      </c>
      <c r="Q401" s="28">
        <v>0.39</v>
      </c>
      <c r="T401" s="28">
        <v>0.38</v>
      </c>
      <c r="W401" s="28">
        <v>0</v>
      </c>
      <c r="Z401" s="28">
        <v>0</v>
      </c>
      <c r="AC401" s="28">
        <v>0.55000000000000004</v>
      </c>
      <c r="AF401" s="28">
        <v>0.33</v>
      </c>
      <c r="AI401" s="28">
        <v>0.3</v>
      </c>
      <c r="AL401" s="28">
        <v>0.51</v>
      </c>
      <c r="AO401" s="28">
        <v>0.255</v>
      </c>
      <c r="AR401" s="28">
        <v>0.26</v>
      </c>
      <c r="AU401" s="28">
        <v>0.27500000000000002</v>
      </c>
      <c r="AX401" s="28">
        <v>0</v>
      </c>
      <c r="BA401" s="28">
        <v>0</v>
      </c>
    </row>
    <row r="402" spans="1:53" s="28" customFormat="1" ht="21" x14ac:dyDescent="0.35">
      <c r="A402" s="1"/>
      <c r="B402" s="2"/>
      <c r="C402" s="2"/>
      <c r="D402" s="2"/>
      <c r="E402" s="2"/>
      <c r="F402" s="2"/>
      <c r="G402" s="2"/>
      <c r="H402" s="2"/>
      <c r="I402" s="40">
        <v>23760</v>
      </c>
      <c r="J402" s="39">
        <v>0.692442424</v>
      </c>
      <c r="K402" s="28">
        <v>0.45</v>
      </c>
      <c r="N402" s="28">
        <v>0.62</v>
      </c>
      <c r="Q402" s="28">
        <v>0.38500000000000001</v>
      </c>
      <c r="T402" s="28">
        <v>0.37</v>
      </c>
      <c r="W402" s="28">
        <v>0</v>
      </c>
      <c r="Z402" s="28">
        <v>0</v>
      </c>
      <c r="AC402" s="28">
        <v>0.54500000000000004</v>
      </c>
      <c r="AF402" s="28">
        <v>0.33</v>
      </c>
      <c r="AI402" s="28">
        <v>0.28999999999999998</v>
      </c>
      <c r="AL402" s="28">
        <v>0.5</v>
      </c>
      <c r="AO402" s="28">
        <v>0.245</v>
      </c>
      <c r="AR402" s="28">
        <v>0.25</v>
      </c>
      <c r="AU402" s="28">
        <v>0.26500000000000001</v>
      </c>
      <c r="AX402" s="28">
        <v>0</v>
      </c>
      <c r="BA402" s="28">
        <v>0</v>
      </c>
    </row>
    <row r="403" spans="1:53" s="28" customFormat="1" ht="21" x14ac:dyDescent="0.35">
      <c r="A403" s="1"/>
      <c r="B403" s="2"/>
      <c r="C403" s="2"/>
      <c r="D403" s="2"/>
      <c r="E403" s="2"/>
      <c r="F403" s="2"/>
      <c r="G403" s="2"/>
      <c r="H403" s="2"/>
      <c r="I403" s="40">
        <v>23820</v>
      </c>
      <c r="J403" s="39">
        <v>0.68827272699999997</v>
      </c>
      <c r="K403" s="28">
        <v>0.45</v>
      </c>
      <c r="N403" s="28">
        <v>0.61</v>
      </c>
      <c r="Q403" s="28">
        <v>0.38</v>
      </c>
      <c r="T403" s="28">
        <v>0.37</v>
      </c>
      <c r="W403" s="28">
        <v>0</v>
      </c>
      <c r="Z403" s="28">
        <v>0</v>
      </c>
      <c r="AC403" s="28">
        <v>0.54</v>
      </c>
      <c r="AF403" s="28">
        <v>0.32</v>
      </c>
      <c r="AI403" s="28">
        <v>0.28499999999999998</v>
      </c>
      <c r="AL403" s="28">
        <v>0.495</v>
      </c>
      <c r="AO403" s="28">
        <v>0.24</v>
      </c>
      <c r="AR403" s="28">
        <v>0.245</v>
      </c>
      <c r="AU403" s="28">
        <v>0.255</v>
      </c>
      <c r="AX403" s="28">
        <v>0</v>
      </c>
      <c r="BA403" s="28">
        <v>0</v>
      </c>
    </row>
    <row r="404" spans="1:53" s="28" customFormat="1" ht="21" x14ac:dyDescent="0.35">
      <c r="A404" s="1"/>
      <c r="B404" s="2"/>
      <c r="C404" s="2"/>
      <c r="D404" s="2"/>
      <c r="E404" s="2"/>
      <c r="F404" s="2"/>
      <c r="G404" s="2"/>
      <c r="H404" s="2"/>
      <c r="I404" s="40">
        <v>23880</v>
      </c>
      <c r="J404" s="39">
        <v>0.68417878799999998</v>
      </c>
      <c r="K404" s="28">
        <v>0.45</v>
      </c>
      <c r="N404" s="28">
        <v>0.61</v>
      </c>
      <c r="Q404" s="28">
        <v>0.38</v>
      </c>
      <c r="T404" s="28">
        <v>0.36499999999999999</v>
      </c>
      <c r="W404" s="28">
        <v>0</v>
      </c>
      <c r="Z404" s="28">
        <v>0</v>
      </c>
      <c r="AC404" s="28">
        <v>0.53500000000000003</v>
      </c>
      <c r="AF404" s="28">
        <v>0.32</v>
      </c>
      <c r="AI404" s="28">
        <v>0.28000000000000003</v>
      </c>
      <c r="AL404" s="28">
        <v>0.48499999999999999</v>
      </c>
      <c r="AO404" s="28">
        <v>0.23</v>
      </c>
      <c r="AR404" s="28">
        <v>0.23499999999999999</v>
      </c>
      <c r="AU404" s="28">
        <v>0.25</v>
      </c>
      <c r="AX404" s="28">
        <v>0</v>
      </c>
      <c r="BA404" s="28">
        <v>0</v>
      </c>
    </row>
    <row r="405" spans="1:53" s="28" customFormat="1" ht="21" x14ac:dyDescent="0.35">
      <c r="A405" s="1"/>
      <c r="B405" s="2"/>
      <c r="C405" s="2"/>
      <c r="D405" s="2"/>
      <c r="E405" s="2"/>
      <c r="F405" s="2"/>
      <c r="G405" s="2"/>
      <c r="H405" s="2"/>
      <c r="I405" s="40">
        <v>23940</v>
      </c>
      <c r="J405" s="39">
        <v>0.67924242450000005</v>
      </c>
      <c r="K405" s="28">
        <v>0.45</v>
      </c>
      <c r="N405" s="28">
        <v>0.60499999999999998</v>
      </c>
      <c r="Q405" s="28">
        <v>0.37</v>
      </c>
      <c r="T405" s="28">
        <v>0.36</v>
      </c>
      <c r="W405" s="28">
        <v>0</v>
      </c>
      <c r="Z405" s="28">
        <v>0</v>
      </c>
      <c r="AC405" s="28">
        <v>0.53</v>
      </c>
      <c r="AF405" s="28">
        <v>0.31</v>
      </c>
      <c r="AI405" s="28">
        <v>0.27500000000000002</v>
      </c>
      <c r="AL405" s="28">
        <v>0.47499999999999998</v>
      </c>
      <c r="AO405" s="28">
        <v>0.22</v>
      </c>
      <c r="AR405" s="28">
        <v>0.22500000000000001</v>
      </c>
      <c r="AU405" s="28">
        <v>0.24</v>
      </c>
      <c r="AX405" s="28">
        <v>0</v>
      </c>
      <c r="BA405" s="28">
        <v>0</v>
      </c>
    </row>
    <row r="406" spans="1:53" s="28" customFormat="1" ht="21" x14ac:dyDescent="0.35">
      <c r="A406" s="1"/>
      <c r="B406" s="2"/>
      <c r="C406" s="2"/>
      <c r="D406" s="2"/>
      <c r="E406" s="2"/>
      <c r="F406" s="2"/>
      <c r="G406" s="2"/>
      <c r="H406" s="2"/>
      <c r="I406" s="40">
        <v>24000</v>
      </c>
      <c r="J406" s="39">
        <v>0.67424848449999997</v>
      </c>
      <c r="K406" s="28">
        <v>0.45</v>
      </c>
      <c r="N406" s="28">
        <v>0.6</v>
      </c>
      <c r="Q406" s="28">
        <v>0.37</v>
      </c>
      <c r="T406" s="28">
        <v>0.36</v>
      </c>
      <c r="W406" s="28">
        <v>0</v>
      </c>
      <c r="Z406" s="28">
        <v>0</v>
      </c>
      <c r="AC406" s="28">
        <v>0.52</v>
      </c>
      <c r="AF406" s="28">
        <v>0.30499999999999999</v>
      </c>
      <c r="AI406" s="28">
        <v>0.27</v>
      </c>
      <c r="AL406" s="28">
        <v>0.47</v>
      </c>
      <c r="AO406" s="28">
        <v>0.21</v>
      </c>
      <c r="AR406" s="28">
        <v>0.215</v>
      </c>
      <c r="AU406" s="28">
        <v>0.23</v>
      </c>
      <c r="AX406" s="28">
        <v>0</v>
      </c>
      <c r="BA406" s="28">
        <v>0</v>
      </c>
    </row>
    <row r="407" spans="1:53" s="28" customFormat="1" ht="21" x14ac:dyDescent="0.35">
      <c r="A407" s="1"/>
      <c r="B407" s="2"/>
      <c r="C407" s="2"/>
      <c r="D407" s="2"/>
      <c r="E407" s="2"/>
      <c r="F407" s="2"/>
      <c r="G407" s="2"/>
      <c r="H407" s="2"/>
      <c r="I407" s="40">
        <v>24060</v>
      </c>
      <c r="J407" s="39">
        <v>0.6685848485</v>
      </c>
      <c r="K407" s="28">
        <v>0.44</v>
      </c>
      <c r="N407" s="28">
        <v>0.6</v>
      </c>
      <c r="Q407" s="28">
        <v>0.36499999999999999</v>
      </c>
      <c r="T407" s="28">
        <v>0.35</v>
      </c>
      <c r="W407" s="28">
        <v>0</v>
      </c>
      <c r="Z407" s="28">
        <v>0</v>
      </c>
      <c r="AC407" s="28">
        <v>0.52</v>
      </c>
      <c r="AF407" s="28">
        <v>0.3</v>
      </c>
      <c r="AI407" s="28">
        <v>0.26500000000000001</v>
      </c>
      <c r="AL407" s="28">
        <v>0.46</v>
      </c>
      <c r="AO407" s="28">
        <v>0.20499999999999999</v>
      </c>
      <c r="AR407" s="28">
        <v>0.21</v>
      </c>
      <c r="AU407" s="28">
        <v>0.22</v>
      </c>
      <c r="AX407" s="28">
        <v>0</v>
      </c>
      <c r="BA407" s="28">
        <v>0</v>
      </c>
    </row>
    <row r="408" spans="1:53" s="28" customFormat="1" ht="21" x14ac:dyDescent="0.35">
      <c r="A408" s="1"/>
      <c r="B408" s="2"/>
      <c r="C408" s="2"/>
      <c r="D408" s="2"/>
      <c r="E408" s="2"/>
      <c r="F408" s="2"/>
      <c r="G408" s="2"/>
      <c r="H408" s="2"/>
      <c r="I408" s="40">
        <v>24120</v>
      </c>
      <c r="J408" s="39">
        <v>0.66425454549999996</v>
      </c>
      <c r="K408" s="28">
        <v>0.44</v>
      </c>
      <c r="N408" s="28">
        <v>0.59</v>
      </c>
      <c r="Q408" s="28">
        <v>0.36</v>
      </c>
      <c r="T408" s="28">
        <v>0.35</v>
      </c>
      <c r="W408" s="28">
        <v>0</v>
      </c>
      <c r="Z408" s="28">
        <v>0</v>
      </c>
      <c r="AC408" s="28">
        <v>0.51</v>
      </c>
      <c r="AF408" s="28">
        <v>0.29499999999999998</v>
      </c>
      <c r="AI408" s="28">
        <v>0.26</v>
      </c>
      <c r="AL408" s="28">
        <v>0.45</v>
      </c>
      <c r="AO408" s="28">
        <v>0.19500000000000001</v>
      </c>
      <c r="AR408" s="28">
        <v>0.2</v>
      </c>
      <c r="AU408" s="28">
        <v>0.21</v>
      </c>
      <c r="AX408" s="28">
        <v>0</v>
      </c>
      <c r="BA408" s="28">
        <v>0</v>
      </c>
    </row>
    <row r="409" spans="1:53" s="28" customFormat="1" ht="21" x14ac:dyDescent="0.35">
      <c r="A409" s="1"/>
      <c r="B409" s="2"/>
      <c r="C409" s="2"/>
      <c r="D409" s="2"/>
      <c r="E409" s="2"/>
      <c r="F409" s="2"/>
      <c r="G409" s="2"/>
      <c r="H409" s="2"/>
      <c r="I409" s="40">
        <v>24180</v>
      </c>
      <c r="J409" s="39">
        <v>0.65879697000000004</v>
      </c>
      <c r="K409" s="28">
        <v>0.44</v>
      </c>
      <c r="N409" s="28">
        <v>0.59</v>
      </c>
      <c r="Q409" s="28">
        <v>0.35499999999999998</v>
      </c>
      <c r="T409" s="28">
        <v>0.34499999999999997</v>
      </c>
      <c r="W409" s="28">
        <v>0</v>
      </c>
      <c r="Z409" s="28">
        <v>0</v>
      </c>
      <c r="AC409" s="28">
        <v>0.505</v>
      </c>
      <c r="AF409" s="28">
        <v>0.28999999999999998</v>
      </c>
      <c r="AI409" s="28">
        <v>0.255</v>
      </c>
      <c r="AL409" s="28">
        <v>0.44</v>
      </c>
      <c r="AO409" s="28">
        <v>0.19</v>
      </c>
      <c r="AR409" s="28">
        <v>0.19</v>
      </c>
      <c r="AU409" s="28">
        <v>0.2</v>
      </c>
      <c r="AX409" s="28">
        <v>0</v>
      </c>
      <c r="BA409" s="28">
        <v>0</v>
      </c>
    </row>
    <row r="410" spans="1:53" s="28" customFormat="1" ht="21" x14ac:dyDescent="0.35">
      <c r="A410" s="1"/>
      <c r="B410" s="2"/>
      <c r="C410" s="2"/>
      <c r="D410" s="2"/>
      <c r="E410" s="2"/>
      <c r="F410" s="2"/>
      <c r="G410" s="2"/>
      <c r="H410" s="2"/>
      <c r="I410" s="40">
        <v>24240</v>
      </c>
      <c r="J410" s="39">
        <v>0.65345151550000002</v>
      </c>
      <c r="K410" s="28">
        <v>0.44</v>
      </c>
      <c r="N410" s="28">
        <v>0.57999999999999996</v>
      </c>
      <c r="Q410" s="28">
        <v>0.35</v>
      </c>
      <c r="T410" s="28">
        <v>0.34</v>
      </c>
      <c r="W410" s="28">
        <v>0</v>
      </c>
      <c r="Z410" s="28">
        <v>0</v>
      </c>
      <c r="AC410" s="28">
        <v>0.5</v>
      </c>
      <c r="AF410" s="28">
        <v>0.28000000000000003</v>
      </c>
      <c r="AI410" s="28">
        <v>0.25</v>
      </c>
      <c r="AL410" s="28">
        <v>0.43</v>
      </c>
      <c r="AO410" s="28">
        <v>0.18</v>
      </c>
      <c r="AR410" s="28">
        <v>0.18</v>
      </c>
      <c r="AU410" s="28">
        <v>0.19</v>
      </c>
      <c r="AX410" s="28">
        <v>0</v>
      </c>
      <c r="BA410" s="28">
        <v>0</v>
      </c>
    </row>
    <row r="411" spans="1:53" s="28" customFormat="1" ht="21" x14ac:dyDescent="0.35">
      <c r="A411" s="1"/>
      <c r="B411" s="2"/>
      <c r="C411" s="2"/>
      <c r="D411" s="2"/>
      <c r="E411" s="2"/>
      <c r="F411" s="2"/>
      <c r="G411" s="2"/>
      <c r="H411" s="2"/>
      <c r="I411" s="40">
        <v>24300</v>
      </c>
      <c r="J411" s="39">
        <v>0.64810303049999995</v>
      </c>
      <c r="K411" s="28">
        <v>0.44</v>
      </c>
      <c r="N411" s="28">
        <v>0.57999999999999996</v>
      </c>
      <c r="Q411" s="28">
        <v>0.34499999999999997</v>
      </c>
      <c r="T411" s="28">
        <v>0.33500000000000002</v>
      </c>
      <c r="W411" s="28">
        <v>0</v>
      </c>
      <c r="Z411" s="28">
        <v>0</v>
      </c>
      <c r="AC411" s="28">
        <v>0.495</v>
      </c>
      <c r="AF411" s="28">
        <v>0.28000000000000003</v>
      </c>
      <c r="AI411" s="28">
        <v>0.24</v>
      </c>
      <c r="AL411" s="28">
        <v>0.42</v>
      </c>
      <c r="AO411" s="28">
        <v>0.17</v>
      </c>
      <c r="AR411" s="28">
        <v>0.17</v>
      </c>
      <c r="AU411" s="28">
        <v>0.18</v>
      </c>
      <c r="AX411" s="28">
        <v>0</v>
      </c>
      <c r="BA411" s="28">
        <v>0</v>
      </c>
    </row>
    <row r="412" spans="1:53" s="28" customFormat="1" ht="21" x14ac:dyDescent="0.35">
      <c r="A412" s="1"/>
      <c r="B412" s="2"/>
      <c r="C412" s="2"/>
      <c r="D412" s="2"/>
      <c r="E412" s="2"/>
      <c r="F412" s="2"/>
      <c r="G412" s="2"/>
      <c r="H412" s="2"/>
      <c r="I412" s="40">
        <v>24360</v>
      </c>
      <c r="J412" s="39">
        <v>0.64254242399999995</v>
      </c>
      <c r="K412" s="28">
        <v>0.44</v>
      </c>
      <c r="N412" s="28">
        <v>0.57499999999999996</v>
      </c>
      <c r="Q412" s="28">
        <v>0.34</v>
      </c>
      <c r="T412" s="28">
        <v>0.33</v>
      </c>
      <c r="W412" s="28">
        <v>0</v>
      </c>
      <c r="Z412" s="28">
        <v>0</v>
      </c>
      <c r="AC412" s="28">
        <v>0.49</v>
      </c>
      <c r="AF412" s="28">
        <v>0.27</v>
      </c>
      <c r="AI412" s="28">
        <v>0.24</v>
      </c>
      <c r="AL412" s="28">
        <v>0.41</v>
      </c>
      <c r="AO412" s="28">
        <v>0.16</v>
      </c>
      <c r="AR412" s="28">
        <v>0.16</v>
      </c>
      <c r="AU412" s="28">
        <v>0.17</v>
      </c>
      <c r="AX412" s="28">
        <v>0</v>
      </c>
      <c r="BA412" s="28">
        <v>5.0000000000000001E-3</v>
      </c>
    </row>
    <row r="413" spans="1:53" s="28" customFormat="1" ht="21" x14ac:dyDescent="0.35">
      <c r="A413" s="1"/>
      <c r="B413" s="2"/>
      <c r="C413" s="2"/>
      <c r="D413" s="2"/>
      <c r="E413" s="2"/>
      <c r="F413" s="2"/>
      <c r="G413" s="2"/>
      <c r="H413" s="2"/>
      <c r="I413" s="40">
        <v>24420</v>
      </c>
      <c r="J413" s="39">
        <v>0.63826060600000001</v>
      </c>
      <c r="K413" s="28">
        <v>0.43</v>
      </c>
      <c r="N413" s="28">
        <v>0.56999999999999995</v>
      </c>
      <c r="Q413" s="28">
        <v>0.33500000000000002</v>
      </c>
      <c r="T413" s="28">
        <v>0.32500000000000001</v>
      </c>
      <c r="W413" s="28">
        <v>0</v>
      </c>
      <c r="Z413" s="28">
        <v>0.01</v>
      </c>
      <c r="AC413" s="28">
        <v>0.48</v>
      </c>
      <c r="AF413" s="28">
        <v>0.26500000000000001</v>
      </c>
      <c r="AI413" s="28">
        <v>0.23</v>
      </c>
      <c r="AL413" s="28">
        <v>0.40500000000000003</v>
      </c>
      <c r="AO413" s="28">
        <v>0.15</v>
      </c>
      <c r="AR413" s="28">
        <v>0.15</v>
      </c>
      <c r="AU413" s="28">
        <v>0.16500000000000001</v>
      </c>
      <c r="AX413" s="28">
        <v>0</v>
      </c>
      <c r="BA413" s="28">
        <v>0.01</v>
      </c>
    </row>
    <row r="414" spans="1:53" s="28" customFormat="1" ht="21" x14ac:dyDescent="0.35">
      <c r="A414" s="1"/>
      <c r="B414" s="2"/>
      <c r="C414" s="2"/>
      <c r="D414" s="2"/>
      <c r="E414" s="2"/>
      <c r="F414" s="2"/>
      <c r="G414" s="2"/>
      <c r="H414" s="2"/>
      <c r="I414" s="40">
        <v>24480</v>
      </c>
      <c r="J414" s="39">
        <v>0.63252424249999994</v>
      </c>
      <c r="K414" s="28">
        <v>0.43</v>
      </c>
      <c r="N414" s="28">
        <v>0.56499999999999995</v>
      </c>
      <c r="Q414" s="28">
        <v>0.33</v>
      </c>
      <c r="T414" s="28">
        <v>0.32</v>
      </c>
      <c r="W414" s="28">
        <v>0.01</v>
      </c>
      <c r="Z414" s="28">
        <v>0.01</v>
      </c>
      <c r="AC414" s="28">
        <v>0.48</v>
      </c>
      <c r="AF414" s="28">
        <v>0.26</v>
      </c>
      <c r="AI414" s="28">
        <v>0.22500000000000001</v>
      </c>
      <c r="AL414" s="28">
        <v>0.39500000000000002</v>
      </c>
      <c r="AO414" s="28">
        <v>0.14499999999999999</v>
      </c>
      <c r="AR414" s="28">
        <v>0.14000000000000001</v>
      </c>
      <c r="AU414" s="28">
        <v>0.155</v>
      </c>
      <c r="AX414" s="28">
        <v>0</v>
      </c>
      <c r="BA414" s="28">
        <v>0.01</v>
      </c>
    </row>
    <row r="415" spans="1:53" s="28" customFormat="1" ht="21" x14ac:dyDescent="0.35">
      <c r="A415" s="1"/>
      <c r="B415" s="2"/>
      <c r="C415" s="2"/>
      <c r="D415" s="2"/>
      <c r="E415" s="2"/>
      <c r="F415" s="2"/>
      <c r="G415" s="2"/>
      <c r="H415" s="2"/>
      <c r="I415" s="40">
        <v>24540</v>
      </c>
      <c r="J415" s="39">
        <v>0.62662727250000005</v>
      </c>
      <c r="K415" s="28">
        <v>0.43</v>
      </c>
      <c r="N415" s="28">
        <v>0.56000000000000005</v>
      </c>
      <c r="Q415" s="28">
        <v>0.33</v>
      </c>
      <c r="T415" s="28">
        <v>0.32</v>
      </c>
      <c r="W415" s="28">
        <v>0.01</v>
      </c>
      <c r="Z415" s="28">
        <v>0.01</v>
      </c>
      <c r="AC415" s="28">
        <v>0.47</v>
      </c>
      <c r="AF415" s="28">
        <v>0.25</v>
      </c>
      <c r="AI415" s="28">
        <v>0.22</v>
      </c>
      <c r="AL415" s="28">
        <v>0.38500000000000001</v>
      </c>
      <c r="AO415" s="28">
        <v>0.13500000000000001</v>
      </c>
      <c r="AR415" s="28">
        <v>0.13</v>
      </c>
      <c r="AU415" s="28">
        <v>0.14499999999999999</v>
      </c>
      <c r="AX415" s="28">
        <v>0</v>
      </c>
      <c r="BA415" s="28">
        <v>0.01</v>
      </c>
    </row>
    <row r="416" spans="1:53" s="28" customFormat="1" ht="21" x14ac:dyDescent="0.35">
      <c r="A416" s="1"/>
      <c r="B416" s="2"/>
      <c r="C416" s="2"/>
      <c r="D416" s="2"/>
      <c r="E416" s="2"/>
      <c r="F416" s="2"/>
      <c r="G416" s="2"/>
      <c r="H416" s="2"/>
      <c r="I416" s="40">
        <v>24600</v>
      </c>
      <c r="J416" s="39">
        <v>0.62145151499999995</v>
      </c>
      <c r="K416" s="28">
        <v>0.43</v>
      </c>
      <c r="N416" s="28">
        <v>0.56000000000000005</v>
      </c>
      <c r="Q416" s="28">
        <v>0.32</v>
      </c>
      <c r="T416" s="28">
        <v>0.31</v>
      </c>
      <c r="W416" s="28">
        <v>0.01</v>
      </c>
      <c r="Z416" s="28">
        <v>0.01</v>
      </c>
      <c r="AC416" s="28">
        <v>0.46500000000000002</v>
      </c>
      <c r="AF416" s="28">
        <v>0.25</v>
      </c>
      <c r="AI416" s="28">
        <v>0.215</v>
      </c>
      <c r="AL416" s="28">
        <v>0.375</v>
      </c>
      <c r="AO416" s="28">
        <v>0.125</v>
      </c>
      <c r="AR416" s="28">
        <v>0.125</v>
      </c>
      <c r="AU416" s="28">
        <v>0.13500000000000001</v>
      </c>
      <c r="AX416" s="28">
        <v>0</v>
      </c>
      <c r="BA416" s="28">
        <v>0.01</v>
      </c>
    </row>
    <row r="417" spans="1:53" s="28" customFormat="1" ht="21" x14ac:dyDescent="0.35">
      <c r="A417" s="1"/>
      <c r="B417" s="2"/>
      <c r="C417" s="2"/>
      <c r="D417" s="2"/>
      <c r="E417" s="2"/>
      <c r="F417" s="2"/>
      <c r="G417" s="2"/>
      <c r="H417" s="2"/>
      <c r="I417" s="40">
        <v>24660</v>
      </c>
      <c r="J417" s="39">
        <v>0.61767575750000003</v>
      </c>
      <c r="K417" s="28">
        <v>0.43</v>
      </c>
      <c r="N417" s="28">
        <v>0.55000000000000004</v>
      </c>
      <c r="Q417" s="28">
        <v>0.32</v>
      </c>
      <c r="T417" s="28">
        <v>0.31</v>
      </c>
      <c r="W417" s="28">
        <v>0.01</v>
      </c>
      <c r="Z417" s="28">
        <v>0.01</v>
      </c>
      <c r="AC417" s="28">
        <v>0.46</v>
      </c>
      <c r="AF417" s="28">
        <v>0.24</v>
      </c>
      <c r="AI417" s="28">
        <v>0.21</v>
      </c>
      <c r="AL417" s="28">
        <v>0.36499999999999999</v>
      </c>
      <c r="AO417" s="28">
        <v>0.115</v>
      </c>
      <c r="AR417" s="28">
        <v>0.115</v>
      </c>
      <c r="AU417" s="28">
        <v>0.13</v>
      </c>
      <c r="AX417" s="28">
        <v>0</v>
      </c>
      <c r="BA417" s="28">
        <v>0.01</v>
      </c>
    </row>
    <row r="418" spans="1:53" s="28" customFormat="1" ht="21" x14ac:dyDescent="0.35">
      <c r="A418" s="1"/>
      <c r="B418" s="2"/>
      <c r="C418" s="2"/>
      <c r="D418" s="2"/>
      <c r="E418" s="2"/>
      <c r="F418" s="2"/>
      <c r="G418" s="2"/>
      <c r="H418" s="2"/>
      <c r="I418" s="40">
        <v>24720</v>
      </c>
      <c r="J418" s="39">
        <v>0.61305151499999999</v>
      </c>
      <c r="K418" s="28">
        <v>0.42499999999999999</v>
      </c>
      <c r="N418" s="28">
        <v>0.55000000000000004</v>
      </c>
      <c r="Q418" s="28">
        <v>0.31</v>
      </c>
      <c r="T418" s="28">
        <v>0.3</v>
      </c>
      <c r="W418" s="28">
        <v>0.01</v>
      </c>
      <c r="Z418" s="28">
        <v>0.01</v>
      </c>
      <c r="AC418" s="28">
        <v>0.45</v>
      </c>
      <c r="AF418" s="28">
        <v>0.23499999999999999</v>
      </c>
      <c r="AI418" s="28">
        <v>0.2</v>
      </c>
      <c r="AL418" s="28">
        <v>0.35499999999999998</v>
      </c>
      <c r="AO418" s="28">
        <v>0.11</v>
      </c>
      <c r="AR418" s="28">
        <v>0.105</v>
      </c>
      <c r="AU418" s="28">
        <v>0.12</v>
      </c>
      <c r="AX418" s="28">
        <v>0</v>
      </c>
      <c r="BA418" s="28">
        <v>0.01</v>
      </c>
    </row>
    <row r="419" spans="1:53" s="28" customFormat="1" ht="21" x14ac:dyDescent="0.35">
      <c r="A419" s="1"/>
      <c r="B419" s="2"/>
      <c r="C419" s="2"/>
      <c r="D419" s="2"/>
      <c r="E419" s="2"/>
      <c r="F419" s="2"/>
      <c r="G419" s="2"/>
      <c r="H419" s="2"/>
      <c r="I419" s="40">
        <v>24780</v>
      </c>
      <c r="J419" s="39">
        <v>0.60831212099999998</v>
      </c>
      <c r="K419" s="28">
        <v>0.42</v>
      </c>
      <c r="N419" s="28">
        <v>0.54</v>
      </c>
      <c r="Q419" s="28">
        <v>0.31</v>
      </c>
      <c r="T419" s="28">
        <v>0.3</v>
      </c>
      <c r="W419" s="28">
        <v>0.01</v>
      </c>
      <c r="Z419" s="28">
        <v>0.01</v>
      </c>
      <c r="AC419" s="28">
        <v>0.45</v>
      </c>
      <c r="AF419" s="28">
        <v>0.23</v>
      </c>
      <c r="AI419" s="28">
        <v>0.19500000000000001</v>
      </c>
      <c r="AL419" s="28">
        <v>0.34499999999999997</v>
      </c>
      <c r="AO419" s="28">
        <v>0.1</v>
      </c>
      <c r="AR419" s="28">
        <v>9.5000000000000001E-2</v>
      </c>
      <c r="AU419" s="28">
        <v>0.11</v>
      </c>
      <c r="AX419" s="28">
        <v>0</v>
      </c>
      <c r="BA419" s="28">
        <v>0.01</v>
      </c>
    </row>
    <row r="420" spans="1:53" s="28" customFormat="1" ht="21" x14ac:dyDescent="0.35">
      <c r="A420" s="1"/>
      <c r="B420" s="2"/>
      <c r="C420" s="2"/>
      <c r="D420" s="2"/>
      <c r="E420" s="2"/>
      <c r="F420" s="2"/>
      <c r="G420" s="2"/>
      <c r="H420" s="2"/>
      <c r="I420" s="40">
        <v>24840</v>
      </c>
      <c r="J420" s="39">
        <v>0.60254545449999997</v>
      </c>
      <c r="K420" s="28">
        <v>0.42</v>
      </c>
      <c r="N420" s="28">
        <v>0.54</v>
      </c>
      <c r="Q420" s="28">
        <v>0.3</v>
      </c>
      <c r="T420" s="28">
        <v>0.28999999999999998</v>
      </c>
      <c r="W420" s="28">
        <v>0.01</v>
      </c>
      <c r="Z420" s="28">
        <v>0.01</v>
      </c>
      <c r="AC420" s="28">
        <v>0.44</v>
      </c>
      <c r="AF420" s="28">
        <v>0.22</v>
      </c>
      <c r="AI420" s="28">
        <v>0.19</v>
      </c>
      <c r="AL420" s="28">
        <v>0.33500000000000002</v>
      </c>
      <c r="AO420" s="28">
        <v>0.09</v>
      </c>
      <c r="AR420" s="28">
        <v>8.5000000000000006E-2</v>
      </c>
      <c r="AU420" s="28">
        <v>0.1</v>
      </c>
      <c r="AX420" s="28">
        <v>0</v>
      </c>
      <c r="BA420" s="28">
        <v>0.01</v>
      </c>
    </row>
    <row r="421" spans="1:53" s="28" customFormat="1" ht="21" x14ac:dyDescent="0.35">
      <c r="A421" s="1"/>
      <c r="B421" s="2"/>
      <c r="C421" s="2"/>
      <c r="D421" s="2"/>
      <c r="E421" s="2"/>
      <c r="F421" s="2"/>
      <c r="G421" s="2"/>
      <c r="H421" s="2"/>
      <c r="I421" s="40">
        <v>24900</v>
      </c>
      <c r="J421" s="39">
        <v>0.59767878799999996</v>
      </c>
      <c r="K421" s="28">
        <v>0.42</v>
      </c>
      <c r="N421" s="28">
        <v>0.53500000000000003</v>
      </c>
      <c r="Q421" s="28">
        <v>0.3</v>
      </c>
      <c r="T421" s="28">
        <v>0.28999999999999998</v>
      </c>
      <c r="W421" s="28">
        <v>0.01</v>
      </c>
      <c r="Z421" s="28">
        <v>0.01</v>
      </c>
      <c r="AC421" s="28">
        <v>0.435</v>
      </c>
      <c r="AF421" s="28">
        <v>0.22</v>
      </c>
      <c r="AI421" s="28">
        <v>0.185</v>
      </c>
      <c r="AL421" s="28">
        <v>0.33</v>
      </c>
      <c r="AO421" s="28">
        <v>0.08</v>
      </c>
      <c r="AR421" s="28">
        <v>0.08</v>
      </c>
      <c r="AU421" s="28">
        <v>9.5000000000000001E-2</v>
      </c>
      <c r="AX421" s="28">
        <v>0</v>
      </c>
      <c r="BA421" s="28">
        <v>0.01</v>
      </c>
    </row>
    <row r="422" spans="1:53" s="28" customFormat="1" ht="21" x14ac:dyDescent="0.35">
      <c r="A422" s="1"/>
      <c r="B422" s="2"/>
      <c r="C422" s="2"/>
      <c r="D422" s="2"/>
      <c r="E422" s="2"/>
      <c r="F422" s="2"/>
      <c r="G422" s="2"/>
      <c r="H422" s="2"/>
      <c r="I422" s="40">
        <v>24960</v>
      </c>
      <c r="J422" s="39">
        <v>0.59195454550000004</v>
      </c>
      <c r="K422" s="28">
        <v>0.42</v>
      </c>
      <c r="N422" s="28">
        <v>0.53</v>
      </c>
      <c r="Q422" s="28">
        <v>0.28999999999999998</v>
      </c>
      <c r="T422" s="28">
        <v>0.28499999999999998</v>
      </c>
      <c r="W422" s="28">
        <v>0.01</v>
      </c>
      <c r="Z422" s="28">
        <v>0.01</v>
      </c>
      <c r="AC422" s="28">
        <v>0.43</v>
      </c>
      <c r="AF422" s="28">
        <v>0.21</v>
      </c>
      <c r="AI422" s="28">
        <v>0.18</v>
      </c>
      <c r="AL422" s="28">
        <v>0.32</v>
      </c>
      <c r="AO422" s="28">
        <v>7.0000000000000007E-2</v>
      </c>
      <c r="AR422" s="28">
        <v>7.0000000000000007E-2</v>
      </c>
      <c r="AU422" s="28">
        <v>8.5000000000000006E-2</v>
      </c>
      <c r="AX422" s="28">
        <v>0</v>
      </c>
      <c r="BA422" s="28">
        <v>0.01</v>
      </c>
    </row>
    <row r="423" spans="1:53" s="28" customFormat="1" ht="21" x14ac:dyDescent="0.35">
      <c r="A423" s="1"/>
      <c r="B423" s="2"/>
      <c r="C423" s="2"/>
      <c r="D423" s="2"/>
      <c r="E423" s="2"/>
      <c r="F423" s="2"/>
      <c r="G423" s="2"/>
      <c r="H423" s="2"/>
      <c r="I423" s="40">
        <v>25020</v>
      </c>
      <c r="J423" s="39">
        <v>0.58684242450000002</v>
      </c>
      <c r="K423" s="28">
        <v>0.41499999999999998</v>
      </c>
      <c r="N423" s="28">
        <v>0.52500000000000002</v>
      </c>
      <c r="Q423" s="28">
        <v>0.28999999999999998</v>
      </c>
      <c r="T423" s="28">
        <v>0.28000000000000003</v>
      </c>
      <c r="W423" s="28">
        <v>0.01</v>
      </c>
      <c r="Z423" s="28">
        <v>0.01</v>
      </c>
      <c r="AC423" s="28">
        <v>0.42</v>
      </c>
      <c r="AF423" s="28">
        <v>0.20499999999999999</v>
      </c>
      <c r="AI423" s="28">
        <v>0.17</v>
      </c>
      <c r="AL423" s="28">
        <v>0.31</v>
      </c>
      <c r="AO423" s="28">
        <v>0.06</v>
      </c>
      <c r="AR423" s="28">
        <v>0.06</v>
      </c>
      <c r="AU423" s="28">
        <v>0.08</v>
      </c>
      <c r="AX423" s="28">
        <v>0</v>
      </c>
      <c r="BA423" s="28">
        <v>0.01</v>
      </c>
    </row>
    <row r="424" spans="1:53" s="28" customFormat="1" ht="21" x14ac:dyDescent="0.35">
      <c r="A424" s="1"/>
      <c r="B424" s="2"/>
      <c r="C424" s="2"/>
      <c r="D424" s="2"/>
      <c r="E424" s="2"/>
      <c r="F424" s="2"/>
      <c r="G424" s="2"/>
      <c r="H424" s="2"/>
      <c r="I424" s="40">
        <v>25080</v>
      </c>
      <c r="J424" s="39">
        <v>0.58115454550000001</v>
      </c>
      <c r="K424" s="28">
        <v>0.41</v>
      </c>
      <c r="N424" s="28">
        <v>0.52</v>
      </c>
      <c r="Q424" s="28">
        <v>0.28000000000000003</v>
      </c>
      <c r="T424" s="28">
        <v>0.27500000000000002</v>
      </c>
      <c r="W424" s="28">
        <v>0.01</v>
      </c>
      <c r="Z424" s="28">
        <v>0.01</v>
      </c>
      <c r="AC424" s="28">
        <v>0.41499999999999998</v>
      </c>
      <c r="AF424" s="28">
        <v>0.2</v>
      </c>
      <c r="AI424" s="28">
        <v>0.16500000000000001</v>
      </c>
      <c r="AL424" s="28">
        <v>0.3</v>
      </c>
      <c r="AO424" s="28">
        <v>5.5E-2</v>
      </c>
      <c r="AR424" s="28">
        <v>0.05</v>
      </c>
      <c r="AU424" s="28">
        <v>7.0000000000000007E-2</v>
      </c>
      <c r="AX424" s="28">
        <v>0</v>
      </c>
      <c r="BA424" s="28">
        <v>0.01</v>
      </c>
    </row>
    <row r="425" spans="1:53" s="28" customFormat="1" ht="21" x14ac:dyDescent="0.35">
      <c r="A425" s="1"/>
      <c r="B425" s="2"/>
      <c r="C425" s="2"/>
      <c r="D425" s="2"/>
      <c r="E425" s="2"/>
      <c r="F425" s="2"/>
      <c r="G425" s="2"/>
      <c r="H425" s="2"/>
      <c r="I425" s="40">
        <v>25140</v>
      </c>
      <c r="J425" s="39">
        <v>0.57651212100000004</v>
      </c>
      <c r="K425" s="28">
        <v>0.41</v>
      </c>
      <c r="N425" s="28">
        <v>0.51500000000000001</v>
      </c>
      <c r="Q425" s="28">
        <v>0.28000000000000003</v>
      </c>
      <c r="T425" s="28">
        <v>0.27</v>
      </c>
      <c r="W425" s="28">
        <v>0.01</v>
      </c>
      <c r="Z425" s="28">
        <v>0.01</v>
      </c>
      <c r="AC425" s="28">
        <v>0.41</v>
      </c>
      <c r="AF425" s="28">
        <v>0.19</v>
      </c>
      <c r="AI425" s="28">
        <v>0.16</v>
      </c>
      <c r="AL425" s="28">
        <v>0.28999999999999998</v>
      </c>
      <c r="AO425" s="28">
        <v>4.4999999999999998E-2</v>
      </c>
      <c r="AR425" s="28">
        <v>4.4999999999999998E-2</v>
      </c>
      <c r="AU425" s="28">
        <v>0.06</v>
      </c>
      <c r="AX425" s="28">
        <v>0</v>
      </c>
      <c r="BA425" s="28">
        <v>0.01</v>
      </c>
    </row>
    <row r="426" spans="1:53" s="28" customFormat="1" ht="21" x14ac:dyDescent="0.35">
      <c r="A426" s="1"/>
      <c r="B426" s="2"/>
      <c r="C426" s="2"/>
      <c r="D426" s="2"/>
      <c r="E426" s="2"/>
      <c r="F426" s="2"/>
      <c r="G426" s="2"/>
      <c r="H426" s="2"/>
      <c r="I426" s="40">
        <v>25200</v>
      </c>
      <c r="J426" s="39">
        <v>0.57374848499999997</v>
      </c>
      <c r="K426" s="28">
        <v>0.41</v>
      </c>
      <c r="N426" s="28">
        <v>0.52</v>
      </c>
      <c r="Q426" s="28">
        <v>0.28000000000000003</v>
      </c>
      <c r="T426" s="28">
        <v>0.27</v>
      </c>
      <c r="W426" s="28">
        <v>0.01</v>
      </c>
      <c r="Z426" s="28">
        <v>0.01</v>
      </c>
      <c r="AC426" s="28">
        <v>0.41</v>
      </c>
      <c r="AF426" s="28">
        <v>0.19</v>
      </c>
      <c r="AI426" s="28">
        <v>0.15</v>
      </c>
      <c r="AL426" s="28">
        <v>0.28499999999999998</v>
      </c>
      <c r="AO426" s="28">
        <v>0.04</v>
      </c>
      <c r="AR426" s="28">
        <v>0.04</v>
      </c>
      <c r="AU426" s="28">
        <v>5.5E-2</v>
      </c>
      <c r="AX426" s="28">
        <v>0</v>
      </c>
      <c r="BA426" s="28">
        <v>0.01</v>
      </c>
    </row>
    <row r="427" spans="1:53" s="28" customFormat="1" ht="21" x14ac:dyDescent="0.35">
      <c r="A427" s="1"/>
      <c r="B427" s="2"/>
      <c r="C427" s="2"/>
      <c r="D427" s="2"/>
      <c r="E427" s="2"/>
      <c r="F427" s="2"/>
      <c r="G427" s="2"/>
      <c r="H427" s="2"/>
      <c r="I427" s="40">
        <v>25260</v>
      </c>
      <c r="J427" s="39">
        <v>0.60916666649999995</v>
      </c>
      <c r="K427" s="28">
        <v>0.42</v>
      </c>
      <c r="N427" s="28">
        <v>0.52500000000000002</v>
      </c>
      <c r="Q427" s="28">
        <v>0.28499999999999998</v>
      </c>
      <c r="T427" s="28">
        <v>0.28000000000000003</v>
      </c>
      <c r="W427" s="28">
        <v>0.01</v>
      </c>
      <c r="Z427" s="28">
        <v>0.01</v>
      </c>
      <c r="AC427" s="28">
        <v>0.41</v>
      </c>
      <c r="AF427" s="28">
        <v>0.19</v>
      </c>
      <c r="AI427" s="28">
        <v>0.155</v>
      </c>
      <c r="AL427" s="28">
        <v>0.28499999999999998</v>
      </c>
      <c r="AO427" s="28">
        <v>0.03</v>
      </c>
      <c r="AR427" s="28">
        <v>0.03</v>
      </c>
      <c r="AU427" s="28">
        <v>0.05</v>
      </c>
      <c r="AX427" s="28">
        <v>0.01</v>
      </c>
      <c r="BA427" s="28">
        <v>0.01</v>
      </c>
    </row>
    <row r="428" spans="1:53" s="28" customFormat="1" ht="21" x14ac:dyDescent="0.35">
      <c r="A428" s="1"/>
      <c r="B428" s="2"/>
      <c r="C428" s="2"/>
      <c r="D428" s="2"/>
      <c r="E428" s="2"/>
      <c r="F428" s="2"/>
      <c r="G428" s="2"/>
      <c r="H428" s="2"/>
      <c r="I428" s="40">
        <v>25320</v>
      </c>
      <c r="J428" s="39">
        <v>0.68622727299999997</v>
      </c>
      <c r="K428" s="28">
        <v>0.42499999999999999</v>
      </c>
      <c r="N428" s="28">
        <v>0.54500000000000004</v>
      </c>
      <c r="Q428" s="28">
        <v>0.3</v>
      </c>
      <c r="T428" s="28">
        <v>0.29499999999999998</v>
      </c>
      <c r="W428" s="28">
        <v>0.01</v>
      </c>
      <c r="Z428" s="28">
        <v>0.01</v>
      </c>
      <c r="AC428" s="28">
        <v>0.42499999999999999</v>
      </c>
      <c r="AF428" s="28">
        <v>0.2</v>
      </c>
      <c r="AI428" s="28">
        <v>0.16500000000000001</v>
      </c>
      <c r="AL428" s="28">
        <v>0.29499999999999998</v>
      </c>
      <c r="AO428" s="28">
        <v>0.04</v>
      </c>
      <c r="AR428" s="28">
        <v>0.04</v>
      </c>
      <c r="AU428" s="28">
        <v>0.05</v>
      </c>
      <c r="AX428" s="28">
        <v>0</v>
      </c>
      <c r="BA428" s="28">
        <v>0.01</v>
      </c>
    </row>
    <row r="429" spans="1:53" s="28" customFormat="1" ht="21" x14ac:dyDescent="0.35">
      <c r="A429" s="1"/>
      <c r="B429" s="2"/>
      <c r="C429" s="2"/>
      <c r="D429" s="2"/>
      <c r="E429" s="2"/>
      <c r="F429" s="2"/>
      <c r="G429" s="2"/>
      <c r="H429" s="2"/>
      <c r="I429" s="40">
        <v>25380</v>
      </c>
      <c r="J429" s="39">
        <v>0.76144545450000001</v>
      </c>
      <c r="K429" s="28">
        <v>0.43</v>
      </c>
      <c r="N429" s="28">
        <v>0.56499999999999995</v>
      </c>
      <c r="Q429" s="28">
        <v>0.315</v>
      </c>
      <c r="T429" s="28">
        <v>0.315</v>
      </c>
      <c r="W429" s="28">
        <v>0.01</v>
      </c>
      <c r="Z429" s="28">
        <v>0.01</v>
      </c>
      <c r="AC429" s="28">
        <v>0.44500000000000001</v>
      </c>
      <c r="AF429" s="28">
        <v>0.215</v>
      </c>
      <c r="AI429" s="28">
        <v>0.185</v>
      </c>
      <c r="AL429" s="28">
        <v>0.30499999999999999</v>
      </c>
      <c r="AO429" s="28">
        <v>0.05</v>
      </c>
      <c r="AR429" s="28">
        <v>5.5E-2</v>
      </c>
      <c r="AU429" s="28">
        <v>5.5E-2</v>
      </c>
      <c r="AX429" s="28">
        <v>0</v>
      </c>
      <c r="BA429" s="28">
        <v>0.01</v>
      </c>
    </row>
    <row r="430" spans="1:53" s="28" customFormat="1" ht="21" x14ac:dyDescent="0.35">
      <c r="A430" s="1"/>
      <c r="B430" s="2"/>
      <c r="C430" s="2"/>
      <c r="D430" s="2"/>
      <c r="E430" s="2"/>
      <c r="F430" s="2"/>
      <c r="G430" s="2"/>
      <c r="H430" s="2"/>
      <c r="I430" s="40">
        <v>25440</v>
      </c>
      <c r="J430" s="39">
        <v>0.781193939</v>
      </c>
      <c r="K430" s="28">
        <v>0.44</v>
      </c>
      <c r="N430" s="28">
        <v>0.57999999999999996</v>
      </c>
      <c r="Q430" s="28">
        <v>0.33500000000000002</v>
      </c>
      <c r="T430" s="28">
        <v>0.33500000000000002</v>
      </c>
      <c r="W430" s="28">
        <v>0.01</v>
      </c>
      <c r="Z430" s="28">
        <v>0.01</v>
      </c>
      <c r="AC430" s="28">
        <v>0.46500000000000002</v>
      </c>
      <c r="AF430" s="28">
        <v>0.23499999999999999</v>
      </c>
      <c r="AI430" s="28">
        <v>0.20499999999999999</v>
      </c>
      <c r="AL430" s="28">
        <v>0.32500000000000001</v>
      </c>
      <c r="AO430" s="28">
        <v>6.5000000000000002E-2</v>
      </c>
      <c r="AR430" s="28">
        <v>7.4999999999999997E-2</v>
      </c>
      <c r="AU430" s="28">
        <v>7.0000000000000007E-2</v>
      </c>
      <c r="AX430" s="28">
        <v>0</v>
      </c>
      <c r="BA430" s="28">
        <v>0.01</v>
      </c>
    </row>
    <row r="431" spans="1:53" s="28" customFormat="1" ht="21" x14ac:dyDescent="0.35">
      <c r="A431" s="1"/>
      <c r="B431" s="2"/>
      <c r="C431" s="2"/>
      <c r="D431" s="2"/>
      <c r="E431" s="2"/>
      <c r="F431" s="2"/>
      <c r="G431" s="2"/>
      <c r="H431" s="2"/>
      <c r="I431" s="40">
        <v>25500</v>
      </c>
      <c r="J431" s="39">
        <v>0.78129999999999999</v>
      </c>
      <c r="K431" s="28">
        <v>0.44</v>
      </c>
      <c r="N431" s="28">
        <v>0.59</v>
      </c>
      <c r="Q431" s="28">
        <v>0.35</v>
      </c>
      <c r="T431" s="28">
        <v>0.34499999999999997</v>
      </c>
      <c r="W431" s="28">
        <v>0.01</v>
      </c>
      <c r="Z431" s="28">
        <v>0.01</v>
      </c>
      <c r="AC431" s="28">
        <v>0.48499999999999999</v>
      </c>
      <c r="AF431" s="28">
        <v>0.255</v>
      </c>
      <c r="AI431" s="28">
        <v>0.22500000000000001</v>
      </c>
      <c r="AL431" s="28">
        <v>0.34499999999999997</v>
      </c>
      <c r="AO431" s="28">
        <v>8.5000000000000006E-2</v>
      </c>
      <c r="AR431" s="28">
        <v>9.5000000000000001E-2</v>
      </c>
      <c r="AU431" s="28">
        <v>8.5000000000000006E-2</v>
      </c>
      <c r="AX431" s="28">
        <v>0</v>
      </c>
      <c r="BA431" s="28">
        <v>0.01</v>
      </c>
    </row>
    <row r="432" spans="1:53" s="28" customFormat="1" ht="21" x14ac:dyDescent="0.35">
      <c r="A432" s="1"/>
      <c r="B432" s="2"/>
      <c r="C432" s="2"/>
      <c r="D432" s="2"/>
      <c r="E432" s="2"/>
      <c r="F432" s="2"/>
      <c r="G432" s="2"/>
      <c r="H432" s="2"/>
      <c r="I432" s="40">
        <v>25560</v>
      </c>
      <c r="J432" s="39">
        <v>0.77510606049999997</v>
      </c>
      <c r="K432" s="28">
        <v>0.44</v>
      </c>
      <c r="N432" s="28">
        <v>0.59</v>
      </c>
      <c r="Q432" s="28">
        <v>0.35</v>
      </c>
      <c r="T432" s="28">
        <v>0.35</v>
      </c>
      <c r="W432" s="28">
        <v>0.01</v>
      </c>
      <c r="Z432" s="28">
        <v>0.01</v>
      </c>
      <c r="AC432" s="28">
        <v>0.5</v>
      </c>
      <c r="AF432" s="28">
        <v>0.27500000000000002</v>
      </c>
      <c r="AI432" s="28">
        <v>0.24</v>
      </c>
      <c r="AL432" s="28">
        <v>0.36499999999999999</v>
      </c>
      <c r="AO432" s="28">
        <v>0.105</v>
      </c>
      <c r="AR432" s="28">
        <v>0.115</v>
      </c>
      <c r="AU432" s="28">
        <v>0.105</v>
      </c>
      <c r="AX432" s="28">
        <v>0</v>
      </c>
      <c r="BA432" s="28">
        <v>0.01</v>
      </c>
    </row>
    <row r="433" spans="1:53" s="28" customFormat="1" ht="21" x14ac:dyDescent="0.35">
      <c r="A433" s="1"/>
      <c r="B433" s="2"/>
      <c r="C433" s="2"/>
      <c r="D433" s="2"/>
      <c r="E433" s="2"/>
      <c r="F433" s="2"/>
      <c r="G433" s="2"/>
      <c r="H433" s="2"/>
      <c r="I433" s="40">
        <v>25620</v>
      </c>
      <c r="J433" s="39">
        <v>0.76634545499999995</v>
      </c>
      <c r="K433" s="28">
        <v>0.44</v>
      </c>
      <c r="N433" s="28">
        <v>0.59</v>
      </c>
      <c r="Q433" s="28">
        <v>0.35</v>
      </c>
      <c r="T433" s="28">
        <v>0.35</v>
      </c>
      <c r="W433" s="28">
        <v>0.01</v>
      </c>
      <c r="Z433" s="28">
        <v>0.01</v>
      </c>
      <c r="AC433" s="28">
        <v>0.5</v>
      </c>
      <c r="AF433" s="28">
        <v>0.28000000000000003</v>
      </c>
      <c r="AI433" s="28">
        <v>0.25</v>
      </c>
      <c r="AL433" s="28">
        <v>0.37</v>
      </c>
      <c r="AO433" s="28">
        <v>0.115</v>
      </c>
      <c r="AR433" s="28">
        <v>0.12</v>
      </c>
      <c r="AU433" s="28">
        <v>0.125</v>
      </c>
      <c r="AX433" s="28">
        <v>0</v>
      </c>
      <c r="BA433" s="28">
        <v>0.01</v>
      </c>
    </row>
    <row r="434" spans="1:53" s="28" customFormat="1" ht="21" x14ac:dyDescent="0.35">
      <c r="A434" s="1"/>
      <c r="B434" s="2"/>
      <c r="C434" s="2"/>
      <c r="D434" s="2"/>
      <c r="E434" s="2"/>
      <c r="F434" s="2"/>
      <c r="G434" s="2"/>
      <c r="H434" s="2"/>
      <c r="I434" s="40">
        <v>25680</v>
      </c>
      <c r="J434" s="39">
        <v>0.7563878785</v>
      </c>
      <c r="K434" s="28">
        <v>0.44</v>
      </c>
      <c r="N434" s="28">
        <v>0.58499999999999996</v>
      </c>
      <c r="Q434" s="28">
        <v>0.35</v>
      </c>
      <c r="T434" s="28">
        <v>0.34</v>
      </c>
      <c r="W434" s="28">
        <v>0.01</v>
      </c>
      <c r="Z434" s="28">
        <v>0.01</v>
      </c>
      <c r="AC434" s="28">
        <v>0.5</v>
      </c>
      <c r="AF434" s="28">
        <v>0.28000000000000003</v>
      </c>
      <c r="AI434" s="28">
        <v>0.25</v>
      </c>
      <c r="AL434" s="28">
        <v>0.37</v>
      </c>
      <c r="AO434" s="28">
        <v>0.12</v>
      </c>
      <c r="AR434" s="28">
        <v>0.13</v>
      </c>
      <c r="AU434" s="28">
        <v>0.13500000000000001</v>
      </c>
      <c r="AX434" s="28">
        <v>0</v>
      </c>
      <c r="BA434" s="28">
        <v>0.01</v>
      </c>
    </row>
    <row r="435" spans="1:53" s="28" customFormat="1" ht="21" x14ac:dyDescent="0.35">
      <c r="A435" s="1"/>
      <c r="B435" s="2"/>
      <c r="C435" s="2"/>
      <c r="D435" s="2"/>
      <c r="E435" s="2"/>
      <c r="F435" s="2"/>
      <c r="G435" s="2"/>
      <c r="H435" s="2"/>
      <c r="I435" s="40">
        <v>25740</v>
      </c>
      <c r="J435" s="39">
        <v>0.74498181799999996</v>
      </c>
      <c r="K435" s="28">
        <v>0.44</v>
      </c>
      <c r="N435" s="28">
        <v>0.57999999999999996</v>
      </c>
      <c r="Q435" s="28">
        <v>0.35</v>
      </c>
      <c r="T435" s="28">
        <v>0.34</v>
      </c>
      <c r="W435" s="28">
        <v>0.01</v>
      </c>
      <c r="Z435" s="28">
        <v>0.01</v>
      </c>
      <c r="AC435" s="28">
        <v>0.495</v>
      </c>
      <c r="AF435" s="28">
        <v>0.28000000000000003</v>
      </c>
      <c r="AI435" s="28">
        <v>0.24</v>
      </c>
      <c r="AL435" s="28">
        <v>0.38</v>
      </c>
      <c r="AO435" s="28">
        <v>0.12</v>
      </c>
      <c r="AR435" s="28">
        <v>0.13</v>
      </c>
      <c r="AU435" s="28">
        <v>0.14000000000000001</v>
      </c>
      <c r="AX435" s="28">
        <v>0</v>
      </c>
      <c r="BA435" s="28">
        <v>0.01</v>
      </c>
    </row>
    <row r="436" spans="1:53" s="28" customFormat="1" ht="21" x14ac:dyDescent="0.35">
      <c r="A436" s="1"/>
      <c r="B436" s="2"/>
      <c r="C436" s="2"/>
      <c r="D436" s="2"/>
      <c r="E436" s="2"/>
      <c r="F436" s="2"/>
      <c r="G436" s="2"/>
      <c r="H436" s="2"/>
      <c r="I436" s="40">
        <v>25800</v>
      </c>
      <c r="J436" s="39">
        <v>0.74063939400000001</v>
      </c>
      <c r="K436" s="28">
        <v>0.44</v>
      </c>
      <c r="N436" s="28">
        <v>0.59</v>
      </c>
      <c r="Q436" s="28">
        <v>0.35</v>
      </c>
      <c r="T436" s="28">
        <v>0.34499999999999997</v>
      </c>
      <c r="W436" s="28">
        <v>0.01</v>
      </c>
      <c r="Z436" s="28">
        <v>0.01</v>
      </c>
      <c r="AC436" s="28">
        <v>0.5</v>
      </c>
      <c r="AF436" s="28">
        <v>0.28000000000000003</v>
      </c>
      <c r="AI436" s="28">
        <v>0.25</v>
      </c>
      <c r="AL436" s="28">
        <v>0.38</v>
      </c>
      <c r="AO436" s="28">
        <v>0.13</v>
      </c>
      <c r="AR436" s="28">
        <v>0.13500000000000001</v>
      </c>
      <c r="AU436" s="28">
        <v>0.15</v>
      </c>
      <c r="AX436" s="28">
        <v>0</v>
      </c>
      <c r="BA436" s="28">
        <v>0.01</v>
      </c>
    </row>
    <row r="437" spans="1:53" s="28" customFormat="1" ht="21" x14ac:dyDescent="0.35">
      <c r="A437" s="1"/>
      <c r="B437" s="2"/>
      <c r="C437" s="2"/>
      <c r="D437" s="2"/>
      <c r="E437" s="2"/>
      <c r="F437" s="2"/>
      <c r="G437" s="2"/>
      <c r="H437" s="2"/>
      <c r="I437" s="40">
        <v>25860</v>
      </c>
      <c r="J437" s="39">
        <v>0.79051515149999996</v>
      </c>
      <c r="K437" s="28">
        <v>0.44500000000000001</v>
      </c>
      <c r="N437" s="28">
        <v>0.60499999999999998</v>
      </c>
      <c r="Q437" s="28">
        <v>0.36499999999999999</v>
      </c>
      <c r="T437" s="28">
        <v>0.35499999999999998</v>
      </c>
      <c r="W437" s="28">
        <v>0.01</v>
      </c>
      <c r="Z437" s="28">
        <v>0.01</v>
      </c>
      <c r="AC437" s="28">
        <v>0.51500000000000001</v>
      </c>
      <c r="AF437" s="28">
        <v>0.28999999999999998</v>
      </c>
      <c r="AI437" s="28">
        <v>0.255</v>
      </c>
      <c r="AL437" s="28">
        <v>0.39500000000000002</v>
      </c>
      <c r="AO437" s="28">
        <v>0.14000000000000001</v>
      </c>
      <c r="AR437" s="28">
        <v>0.14499999999999999</v>
      </c>
      <c r="AU437" s="28">
        <v>0.16500000000000001</v>
      </c>
      <c r="AX437" s="28">
        <v>0</v>
      </c>
      <c r="BA437" s="28">
        <v>0.01</v>
      </c>
    </row>
    <row r="438" spans="1:53" s="28" customFormat="1" ht="21" x14ac:dyDescent="0.35">
      <c r="A438" s="1"/>
      <c r="B438" s="2"/>
      <c r="C438" s="2"/>
      <c r="D438" s="2"/>
      <c r="E438" s="2"/>
      <c r="F438" s="2"/>
      <c r="G438" s="2"/>
      <c r="H438" s="2"/>
      <c r="I438" s="40">
        <v>25920</v>
      </c>
      <c r="J438" s="39">
        <v>0.88126969700000002</v>
      </c>
      <c r="K438" s="28">
        <v>0.45500000000000002</v>
      </c>
      <c r="N438" s="28">
        <v>0.625</v>
      </c>
      <c r="Q438" s="28">
        <v>0.38500000000000001</v>
      </c>
      <c r="T438" s="28">
        <v>0.375</v>
      </c>
      <c r="W438" s="28">
        <v>0.01</v>
      </c>
      <c r="Z438" s="28">
        <v>0.01</v>
      </c>
      <c r="AC438" s="28">
        <v>0.53500000000000003</v>
      </c>
      <c r="AF438" s="28">
        <v>0.30499999999999999</v>
      </c>
      <c r="AI438" s="28">
        <v>0.27500000000000002</v>
      </c>
      <c r="AL438" s="28">
        <v>0.42</v>
      </c>
      <c r="AO438" s="28">
        <v>0.16500000000000001</v>
      </c>
      <c r="AR438" s="28">
        <v>0.17499999999999999</v>
      </c>
      <c r="AU438" s="28">
        <v>0.185</v>
      </c>
      <c r="AX438" s="28">
        <v>0</v>
      </c>
      <c r="BA438" s="28">
        <v>0.01</v>
      </c>
    </row>
    <row r="439" spans="1:53" s="28" customFormat="1" ht="21" x14ac:dyDescent="0.35">
      <c r="A439" s="1"/>
      <c r="B439" s="2"/>
      <c r="C439" s="2"/>
      <c r="D439" s="2"/>
      <c r="E439" s="2"/>
      <c r="F439" s="2"/>
      <c r="G439" s="2"/>
      <c r="H439" s="2"/>
      <c r="I439" s="40">
        <v>25980</v>
      </c>
      <c r="J439" s="39">
        <v>0.98706666649999997</v>
      </c>
      <c r="K439" s="28">
        <v>0.46500000000000002</v>
      </c>
      <c r="N439" s="28">
        <v>0.64500000000000002</v>
      </c>
      <c r="Q439" s="28">
        <v>0.40500000000000003</v>
      </c>
      <c r="T439" s="28">
        <v>0.40500000000000003</v>
      </c>
      <c r="W439" s="28">
        <v>0.01</v>
      </c>
      <c r="Z439" s="28">
        <v>1.4999999999999999E-2</v>
      </c>
      <c r="AC439" s="28">
        <v>0.56000000000000005</v>
      </c>
      <c r="AF439" s="28">
        <v>0.33500000000000002</v>
      </c>
      <c r="AI439" s="28">
        <v>0.30499999999999999</v>
      </c>
      <c r="AL439" s="28">
        <v>0.45</v>
      </c>
      <c r="AO439" s="28">
        <v>0.19</v>
      </c>
      <c r="AR439" s="28">
        <v>0.21</v>
      </c>
      <c r="AU439" s="28">
        <v>0.21</v>
      </c>
      <c r="AX439" s="28">
        <v>5.0000000000000001E-3</v>
      </c>
      <c r="BA439" s="28">
        <v>0.02</v>
      </c>
    </row>
    <row r="440" spans="1:53" s="28" customFormat="1" ht="21" x14ac:dyDescent="0.35">
      <c r="A440" s="1"/>
      <c r="B440" s="2"/>
      <c r="C440" s="2"/>
      <c r="D440" s="2"/>
      <c r="E440" s="2"/>
      <c r="F440" s="2"/>
      <c r="G440" s="2"/>
      <c r="H440" s="2"/>
      <c r="I440" s="40">
        <v>26040</v>
      </c>
      <c r="J440" s="39">
        <v>1.0323909090000001</v>
      </c>
      <c r="K440" s="28">
        <v>0.47499999999999998</v>
      </c>
      <c r="N440" s="28">
        <v>0.66500000000000004</v>
      </c>
      <c r="Q440" s="28">
        <v>0.42499999999999999</v>
      </c>
      <c r="T440" s="28">
        <v>0.42499999999999999</v>
      </c>
      <c r="W440" s="28">
        <v>0.01</v>
      </c>
      <c r="Z440" s="28">
        <v>3.5000000000000003E-2</v>
      </c>
      <c r="AC440" s="28">
        <v>0.58499999999999996</v>
      </c>
      <c r="AF440" s="28">
        <v>0.36499999999999999</v>
      </c>
      <c r="AI440" s="28">
        <v>0.33500000000000002</v>
      </c>
      <c r="AL440" s="28">
        <v>0.49</v>
      </c>
      <c r="AO440" s="28">
        <v>0.22</v>
      </c>
      <c r="AR440" s="28">
        <v>0.25</v>
      </c>
      <c r="AU440" s="28">
        <v>0.245</v>
      </c>
      <c r="AX440" s="28">
        <v>0.01</v>
      </c>
      <c r="BA440" s="28">
        <v>3.5000000000000003E-2</v>
      </c>
    </row>
    <row r="441" spans="1:53" s="28" customFormat="1" ht="21" x14ac:dyDescent="0.35">
      <c r="A441" s="1"/>
      <c r="B441" s="2"/>
      <c r="C441" s="2"/>
      <c r="D441" s="2"/>
      <c r="E441" s="2"/>
      <c r="F441" s="2"/>
      <c r="G441" s="2"/>
      <c r="H441" s="2"/>
      <c r="I441" s="40">
        <v>26100</v>
      </c>
      <c r="J441" s="39">
        <v>1.0354939395</v>
      </c>
      <c r="K441" s="28">
        <v>0.48</v>
      </c>
      <c r="N441" s="28">
        <v>0.68500000000000005</v>
      </c>
      <c r="Q441" s="28">
        <v>0.44500000000000001</v>
      </c>
      <c r="T441" s="28">
        <v>0.44500000000000001</v>
      </c>
      <c r="W441" s="28">
        <v>1.4999999999999999E-2</v>
      </c>
      <c r="Z441" s="28">
        <v>5.5E-2</v>
      </c>
      <c r="AC441" s="28">
        <v>0.61499999999999999</v>
      </c>
      <c r="AF441" s="28">
        <v>0.39</v>
      </c>
      <c r="AI441" s="28">
        <v>0.36499999999999999</v>
      </c>
      <c r="AL441" s="28">
        <v>0.52500000000000002</v>
      </c>
      <c r="AO441" s="28">
        <v>0.26</v>
      </c>
      <c r="AR441" s="28">
        <v>0.28000000000000003</v>
      </c>
      <c r="AU441" s="28">
        <v>0.28000000000000003</v>
      </c>
      <c r="AX441" s="28">
        <v>2.5000000000000001E-2</v>
      </c>
      <c r="BA441" s="28">
        <v>5.5E-2</v>
      </c>
    </row>
    <row r="442" spans="1:53" s="28" customFormat="1" ht="21" x14ac:dyDescent="0.35">
      <c r="A442" s="1"/>
      <c r="B442" s="2"/>
      <c r="C442" s="2"/>
      <c r="D442" s="2"/>
      <c r="E442" s="2"/>
      <c r="F442" s="2"/>
      <c r="G442" s="2"/>
      <c r="H442" s="2"/>
      <c r="I442" s="40">
        <v>26160</v>
      </c>
      <c r="J442" s="39">
        <v>1.0244393935</v>
      </c>
      <c r="K442" s="28">
        <v>0.48499999999999999</v>
      </c>
      <c r="N442" s="28">
        <v>0.7</v>
      </c>
      <c r="Q442" s="28">
        <v>0.46500000000000002</v>
      </c>
      <c r="T442" s="28">
        <v>0.46</v>
      </c>
      <c r="W442" s="28">
        <v>2.5000000000000001E-2</v>
      </c>
      <c r="Z442" s="28">
        <v>7.4999999999999997E-2</v>
      </c>
      <c r="AC442" s="28">
        <v>0.63500000000000001</v>
      </c>
      <c r="AF442" s="28">
        <v>0.41499999999999998</v>
      </c>
      <c r="AI442" s="28">
        <v>0.38500000000000001</v>
      </c>
      <c r="AL442" s="28">
        <v>0.55500000000000005</v>
      </c>
      <c r="AO442" s="28">
        <v>0.28999999999999998</v>
      </c>
      <c r="AR442" s="28">
        <v>0.315</v>
      </c>
      <c r="AU442" s="28">
        <v>0.32</v>
      </c>
      <c r="AX442" s="28">
        <v>4.4999999999999998E-2</v>
      </c>
      <c r="BA442" s="28">
        <v>8.5000000000000006E-2</v>
      </c>
    </row>
    <row r="443" spans="1:53" s="28" customFormat="1" ht="21" x14ac:dyDescent="0.35">
      <c r="A443" s="1"/>
      <c r="B443" s="2"/>
      <c r="C443" s="2"/>
      <c r="D443" s="2"/>
      <c r="E443" s="2"/>
      <c r="F443" s="2"/>
      <c r="G443" s="2"/>
      <c r="H443" s="2"/>
      <c r="I443" s="40">
        <v>26220</v>
      </c>
      <c r="J443" s="39">
        <v>1.0090727275</v>
      </c>
      <c r="K443" s="28">
        <v>0.49</v>
      </c>
      <c r="N443" s="28">
        <v>0.7</v>
      </c>
      <c r="Q443" s="28">
        <v>0.47</v>
      </c>
      <c r="T443" s="28">
        <v>0.47</v>
      </c>
      <c r="W443" s="28">
        <v>3.5000000000000003E-2</v>
      </c>
      <c r="Z443" s="28">
        <v>0.105</v>
      </c>
      <c r="AC443" s="28">
        <v>0.64500000000000002</v>
      </c>
      <c r="AF443" s="28">
        <v>0.42499999999999999</v>
      </c>
      <c r="AI443" s="28">
        <v>0.4</v>
      </c>
      <c r="AL443" s="28">
        <v>0.57499999999999996</v>
      </c>
      <c r="AO443" s="28">
        <v>0.315</v>
      </c>
      <c r="AR443" s="28">
        <v>0.34</v>
      </c>
      <c r="AU443" s="28">
        <v>0.35</v>
      </c>
      <c r="AX443" s="28">
        <v>6.5000000000000002E-2</v>
      </c>
      <c r="BA443" s="28">
        <v>0.12</v>
      </c>
    </row>
    <row r="444" spans="1:53" s="28" customFormat="1" ht="21" x14ac:dyDescent="0.35">
      <c r="A444" s="1"/>
      <c r="B444" s="2"/>
      <c r="C444" s="2"/>
      <c r="D444" s="2"/>
      <c r="E444" s="2"/>
      <c r="F444" s="2"/>
      <c r="G444" s="2"/>
      <c r="H444" s="2"/>
      <c r="I444" s="40">
        <v>26280</v>
      </c>
      <c r="J444" s="39">
        <v>0.99380606049999998</v>
      </c>
      <c r="K444" s="28">
        <v>0.49</v>
      </c>
      <c r="N444" s="28">
        <v>0.71</v>
      </c>
      <c r="Q444" s="28">
        <v>0.48</v>
      </c>
      <c r="T444" s="28">
        <v>0.47</v>
      </c>
      <c r="W444" s="28">
        <v>0.05</v>
      </c>
      <c r="Z444" s="28">
        <v>0.12</v>
      </c>
      <c r="AC444" s="28">
        <v>0.65</v>
      </c>
      <c r="AF444" s="28">
        <v>0.435</v>
      </c>
      <c r="AI444" s="28">
        <v>0.41</v>
      </c>
      <c r="AL444" s="28">
        <v>0.59499999999999997</v>
      </c>
      <c r="AO444" s="28">
        <v>0.33500000000000002</v>
      </c>
      <c r="AR444" s="28">
        <v>0.35499999999999998</v>
      </c>
      <c r="AU444" s="28">
        <v>0.375</v>
      </c>
      <c r="AX444" s="28">
        <v>0.09</v>
      </c>
      <c r="BA444" s="28">
        <v>0.14499999999999999</v>
      </c>
    </row>
    <row r="445" spans="1:53" s="28" customFormat="1" ht="21" x14ac:dyDescent="0.35">
      <c r="A445" s="1"/>
      <c r="B445" s="2"/>
      <c r="C445" s="2"/>
      <c r="D445" s="2"/>
      <c r="E445" s="2"/>
      <c r="F445" s="2"/>
      <c r="G445" s="2"/>
      <c r="H445" s="2"/>
      <c r="I445" s="40">
        <v>26340</v>
      </c>
      <c r="J445" s="39">
        <v>0.97827575749999995</v>
      </c>
      <c r="K445" s="28">
        <v>0.49</v>
      </c>
      <c r="N445" s="28">
        <v>0.71</v>
      </c>
      <c r="Q445" s="28">
        <v>0.48499999999999999</v>
      </c>
      <c r="T445" s="28">
        <v>0.48</v>
      </c>
      <c r="W445" s="28">
        <v>0.06</v>
      </c>
      <c r="Z445" s="28">
        <v>0.13</v>
      </c>
      <c r="AC445" s="28">
        <v>0.66</v>
      </c>
      <c r="AF445" s="28">
        <v>0.44</v>
      </c>
      <c r="AI445" s="28">
        <v>0.42</v>
      </c>
      <c r="AL445" s="28">
        <v>0.60499999999999998</v>
      </c>
      <c r="AO445" s="28">
        <v>0.35499999999999998</v>
      </c>
      <c r="AR445" s="28">
        <v>0.37</v>
      </c>
      <c r="AU445" s="28">
        <v>0.39500000000000002</v>
      </c>
      <c r="AX445" s="28">
        <v>0.11</v>
      </c>
      <c r="BA445" s="28">
        <v>0.16500000000000001</v>
      </c>
    </row>
    <row r="446" spans="1:53" s="28" customFormat="1" ht="21" x14ac:dyDescent="0.35">
      <c r="A446" s="1"/>
      <c r="B446" s="2"/>
      <c r="C446" s="2"/>
      <c r="D446" s="2"/>
      <c r="E446" s="2"/>
      <c r="F446" s="2"/>
      <c r="G446" s="2"/>
      <c r="H446" s="2"/>
      <c r="I446" s="40">
        <v>26400</v>
      </c>
      <c r="J446" s="39">
        <v>0.96444848500000002</v>
      </c>
      <c r="K446" s="28">
        <v>0.49</v>
      </c>
      <c r="N446" s="28">
        <v>0.72</v>
      </c>
      <c r="Q446" s="28">
        <v>0.49</v>
      </c>
      <c r="T446" s="28">
        <v>0.48</v>
      </c>
      <c r="W446" s="28">
        <v>6.5000000000000002E-2</v>
      </c>
      <c r="Z446" s="28">
        <v>0.13</v>
      </c>
      <c r="AC446" s="28">
        <v>0.66500000000000004</v>
      </c>
      <c r="AF446" s="28">
        <v>0.45</v>
      </c>
      <c r="AI446" s="28">
        <v>0.42</v>
      </c>
      <c r="AL446" s="28">
        <v>0.62</v>
      </c>
      <c r="AO446" s="28">
        <v>0.37</v>
      </c>
      <c r="AR446" s="28">
        <v>0.38</v>
      </c>
      <c r="AU446" s="28">
        <v>0.41499999999999998</v>
      </c>
      <c r="AX446" s="28">
        <v>0.125</v>
      </c>
      <c r="BA446" s="28">
        <v>0.18</v>
      </c>
    </row>
    <row r="447" spans="1:53" s="28" customFormat="1" ht="21" x14ac:dyDescent="0.35">
      <c r="A447" s="1"/>
      <c r="B447" s="2"/>
      <c r="C447" s="2"/>
      <c r="D447" s="2"/>
      <c r="E447" s="2"/>
      <c r="F447" s="2"/>
      <c r="G447" s="2"/>
      <c r="H447" s="2"/>
      <c r="I447" s="40">
        <v>26460</v>
      </c>
      <c r="J447" s="39">
        <v>0.95160303049999995</v>
      </c>
      <c r="K447" s="28">
        <v>0.49</v>
      </c>
      <c r="N447" s="28">
        <v>0.72</v>
      </c>
      <c r="Q447" s="28">
        <v>0.49</v>
      </c>
      <c r="T447" s="28">
        <v>0.48</v>
      </c>
      <c r="W447" s="28">
        <v>6.5000000000000002E-2</v>
      </c>
      <c r="Z447" s="28">
        <v>0.13</v>
      </c>
      <c r="AC447" s="28">
        <v>0.67</v>
      </c>
      <c r="AF447" s="28">
        <v>0.45</v>
      </c>
      <c r="AI447" s="28">
        <v>0.42</v>
      </c>
      <c r="AL447" s="28">
        <v>0.63</v>
      </c>
      <c r="AO447" s="28">
        <v>0.38</v>
      </c>
      <c r="AR447" s="28">
        <v>0.39</v>
      </c>
      <c r="AU447" s="28">
        <v>0.435</v>
      </c>
      <c r="AX447" s="28">
        <v>0.13</v>
      </c>
      <c r="BA447" s="28">
        <v>0.19</v>
      </c>
    </row>
    <row r="448" spans="1:53" s="28" customFormat="1" ht="21" x14ac:dyDescent="0.35">
      <c r="A448" s="1"/>
      <c r="B448" s="2"/>
      <c r="C448" s="2"/>
      <c r="D448" s="2"/>
      <c r="E448" s="2"/>
      <c r="F448" s="2"/>
      <c r="G448" s="2"/>
      <c r="H448" s="2"/>
      <c r="I448" s="40">
        <v>26520</v>
      </c>
      <c r="J448" s="39">
        <v>0.94086666699999999</v>
      </c>
      <c r="K448" s="28">
        <v>0.49</v>
      </c>
      <c r="N448" s="28">
        <v>0.72</v>
      </c>
      <c r="Q448" s="28">
        <v>0.49</v>
      </c>
      <c r="T448" s="28">
        <v>0.48</v>
      </c>
      <c r="W448" s="28">
        <v>0.06</v>
      </c>
      <c r="Z448" s="28">
        <v>0.13</v>
      </c>
      <c r="AC448" s="28">
        <v>0.67</v>
      </c>
      <c r="AF448" s="28">
        <v>0.45</v>
      </c>
      <c r="AI448" s="28">
        <v>0.43</v>
      </c>
      <c r="AL448" s="28">
        <v>0.64</v>
      </c>
      <c r="AO448" s="28">
        <v>0.39</v>
      </c>
      <c r="AR448" s="28">
        <v>0.39500000000000002</v>
      </c>
      <c r="AU448" s="28">
        <v>0.44500000000000001</v>
      </c>
      <c r="AX448" s="28">
        <v>0.13</v>
      </c>
      <c r="BA448" s="28">
        <v>0.19</v>
      </c>
    </row>
    <row r="449" spans="1:53" s="28" customFormat="1" ht="21" x14ac:dyDescent="0.35">
      <c r="A449" s="1"/>
      <c r="B449" s="2"/>
      <c r="C449" s="2"/>
      <c r="D449" s="2"/>
      <c r="E449" s="2"/>
      <c r="F449" s="2"/>
      <c r="G449" s="2"/>
      <c r="H449" s="2"/>
      <c r="I449" s="40">
        <v>26580</v>
      </c>
      <c r="J449" s="39">
        <v>0.92905151500000005</v>
      </c>
      <c r="K449" s="28">
        <v>0.49</v>
      </c>
      <c r="N449" s="28">
        <v>0.72</v>
      </c>
      <c r="Q449" s="28">
        <v>0.495</v>
      </c>
      <c r="T449" s="28">
        <v>0.48</v>
      </c>
      <c r="W449" s="28">
        <v>5.5E-2</v>
      </c>
      <c r="Z449" s="28">
        <v>0.13</v>
      </c>
      <c r="AC449" s="28">
        <v>0.67</v>
      </c>
      <c r="AF449" s="28">
        <v>0.46</v>
      </c>
      <c r="AI449" s="28">
        <v>0.43</v>
      </c>
      <c r="AL449" s="28">
        <v>0.64500000000000002</v>
      </c>
      <c r="AO449" s="28">
        <v>0.39500000000000002</v>
      </c>
      <c r="AR449" s="28">
        <v>0.4</v>
      </c>
      <c r="AU449" s="28">
        <v>0.46</v>
      </c>
      <c r="AX449" s="28">
        <v>0.13</v>
      </c>
      <c r="BA449" s="28">
        <v>0.19</v>
      </c>
    </row>
    <row r="450" spans="1:53" s="28" customFormat="1" ht="21" x14ac:dyDescent="0.35">
      <c r="A450" s="1"/>
      <c r="B450" s="2"/>
      <c r="C450" s="2"/>
      <c r="D450" s="2"/>
      <c r="E450" s="2"/>
      <c r="F450" s="2"/>
      <c r="G450" s="2"/>
      <c r="H450" s="2"/>
      <c r="I450" s="40">
        <v>26640</v>
      </c>
      <c r="J450" s="39">
        <v>0.91834242399999999</v>
      </c>
      <c r="K450" s="28">
        <v>0.49</v>
      </c>
      <c r="N450" s="28">
        <v>0.72</v>
      </c>
      <c r="Q450" s="28">
        <v>0.5</v>
      </c>
      <c r="T450" s="28">
        <v>0.48</v>
      </c>
      <c r="W450" s="28">
        <v>4.4999999999999998E-2</v>
      </c>
      <c r="Z450" s="28">
        <v>0.12</v>
      </c>
      <c r="AC450" s="28">
        <v>0.67</v>
      </c>
      <c r="AF450" s="28">
        <v>0.46</v>
      </c>
      <c r="AI450" s="28">
        <v>0.43</v>
      </c>
      <c r="AL450" s="28">
        <v>0.65</v>
      </c>
      <c r="AO450" s="28">
        <v>0.4</v>
      </c>
      <c r="AR450" s="28">
        <v>0.41</v>
      </c>
      <c r="AU450" s="28">
        <v>0.46500000000000002</v>
      </c>
      <c r="AX450" s="28">
        <v>0.13</v>
      </c>
      <c r="BA450" s="28">
        <v>0.19500000000000001</v>
      </c>
    </row>
    <row r="451" spans="1:53" s="28" customFormat="1" ht="21" x14ac:dyDescent="0.35">
      <c r="A451" s="1"/>
      <c r="B451" s="2"/>
      <c r="C451" s="2"/>
      <c r="D451" s="2"/>
      <c r="E451" s="2"/>
      <c r="F451" s="2"/>
      <c r="G451" s="2"/>
      <c r="H451" s="2"/>
      <c r="I451" s="40">
        <v>26700</v>
      </c>
      <c r="J451" s="39">
        <v>0.90862727249999997</v>
      </c>
      <c r="K451" s="28">
        <v>0.49</v>
      </c>
      <c r="N451" s="28">
        <v>0.72</v>
      </c>
      <c r="Q451" s="28">
        <v>0.495</v>
      </c>
      <c r="T451" s="28">
        <v>0.48</v>
      </c>
      <c r="W451" s="28">
        <v>0.04</v>
      </c>
      <c r="Z451" s="28">
        <v>0.12</v>
      </c>
      <c r="AC451" s="28">
        <v>0.67500000000000004</v>
      </c>
      <c r="AF451" s="28">
        <v>0.46</v>
      </c>
      <c r="AI451" s="28">
        <v>0.43</v>
      </c>
      <c r="AL451" s="28">
        <v>0.65500000000000003</v>
      </c>
      <c r="AO451" s="28">
        <v>0.4</v>
      </c>
      <c r="AR451" s="28">
        <v>0.41</v>
      </c>
      <c r="AU451" s="28">
        <v>0.47</v>
      </c>
      <c r="AX451" s="28">
        <v>0.12</v>
      </c>
      <c r="BA451" s="28">
        <v>0.19</v>
      </c>
    </row>
    <row r="452" spans="1:53" s="28" customFormat="1" ht="21" x14ac:dyDescent="0.35">
      <c r="A452" s="1"/>
      <c r="B452" s="2"/>
      <c r="C452" s="2"/>
      <c r="D452" s="2"/>
      <c r="E452" s="2"/>
      <c r="F452" s="2"/>
      <c r="G452" s="2"/>
      <c r="H452" s="2"/>
      <c r="I452" s="40">
        <v>26760</v>
      </c>
      <c r="J452" s="39">
        <v>0.89856666650000006</v>
      </c>
      <c r="K452" s="28">
        <v>0.49</v>
      </c>
      <c r="N452" s="28">
        <v>0.72</v>
      </c>
      <c r="Q452" s="28">
        <v>0.49</v>
      </c>
      <c r="T452" s="28">
        <v>0.48</v>
      </c>
      <c r="W452" s="28">
        <v>0.03</v>
      </c>
      <c r="Z452" s="28">
        <v>0.115</v>
      </c>
      <c r="AC452" s="28">
        <v>0.68</v>
      </c>
      <c r="AF452" s="28">
        <v>0.46</v>
      </c>
      <c r="AI452" s="28">
        <v>0.43</v>
      </c>
      <c r="AL452" s="28">
        <v>0.66</v>
      </c>
      <c r="AO452" s="28">
        <v>0.41</v>
      </c>
      <c r="AR452" s="28">
        <v>0.41499999999999998</v>
      </c>
      <c r="AU452" s="28">
        <v>0.48</v>
      </c>
      <c r="AX452" s="28">
        <v>0.115</v>
      </c>
      <c r="BA452" s="28">
        <v>0.19</v>
      </c>
    </row>
    <row r="453" spans="1:53" s="28" customFormat="1" ht="21" x14ac:dyDescent="0.35">
      <c r="A453" s="1"/>
      <c r="B453" s="2"/>
      <c r="C453" s="2"/>
      <c r="D453" s="2"/>
      <c r="E453" s="2"/>
      <c r="F453" s="2"/>
      <c r="G453" s="2"/>
      <c r="H453" s="2"/>
      <c r="I453" s="40">
        <v>26820</v>
      </c>
      <c r="J453" s="39">
        <v>0.88988787849999995</v>
      </c>
      <c r="K453" s="28">
        <v>0.49</v>
      </c>
      <c r="N453" s="28">
        <v>0.72</v>
      </c>
      <c r="Q453" s="28">
        <v>0.49</v>
      </c>
      <c r="T453" s="28">
        <v>0.48</v>
      </c>
      <c r="W453" s="28">
        <v>2.5000000000000001E-2</v>
      </c>
      <c r="Z453" s="28">
        <v>0.11</v>
      </c>
      <c r="AC453" s="28">
        <v>0.67</v>
      </c>
      <c r="AF453" s="28">
        <v>0.46</v>
      </c>
      <c r="AI453" s="28">
        <v>0.42499999999999999</v>
      </c>
      <c r="AL453" s="28">
        <v>0.66</v>
      </c>
      <c r="AO453" s="28">
        <v>0.41</v>
      </c>
      <c r="AR453" s="28">
        <v>0.42</v>
      </c>
      <c r="AU453" s="28">
        <v>0.48</v>
      </c>
      <c r="AX453" s="28">
        <v>0.11</v>
      </c>
      <c r="BA453" s="28">
        <v>0.19</v>
      </c>
    </row>
    <row r="454" spans="1:53" s="28" customFormat="1" ht="21" x14ac:dyDescent="0.35">
      <c r="A454" s="1"/>
      <c r="B454" s="2"/>
      <c r="C454" s="2"/>
      <c r="D454" s="2"/>
      <c r="E454" s="2"/>
      <c r="F454" s="2"/>
      <c r="G454" s="2"/>
      <c r="H454" s="2"/>
      <c r="I454" s="40">
        <v>26880</v>
      </c>
      <c r="J454" s="39">
        <v>0.88138181800000004</v>
      </c>
      <c r="K454" s="28">
        <v>0.49</v>
      </c>
      <c r="N454" s="28">
        <v>0.72</v>
      </c>
      <c r="Q454" s="28">
        <v>0.49</v>
      </c>
      <c r="T454" s="28">
        <v>0.48</v>
      </c>
      <c r="W454" s="28">
        <v>1.4999999999999999E-2</v>
      </c>
      <c r="Z454" s="28">
        <v>0.105</v>
      </c>
      <c r="AC454" s="28">
        <v>0.67</v>
      </c>
      <c r="AF454" s="28">
        <v>0.46</v>
      </c>
      <c r="AI454" s="28">
        <v>0.42</v>
      </c>
      <c r="AL454" s="28">
        <v>0.66</v>
      </c>
      <c r="AO454" s="28">
        <v>0.41</v>
      </c>
      <c r="AR454" s="28">
        <v>0.42</v>
      </c>
      <c r="AU454" s="28">
        <v>0.48</v>
      </c>
      <c r="AX454" s="28">
        <v>0.1</v>
      </c>
      <c r="BA454" s="28">
        <v>0.185</v>
      </c>
    </row>
    <row r="455" spans="1:53" s="28" customFormat="1" ht="21" x14ac:dyDescent="0.35">
      <c r="A455" s="1"/>
      <c r="B455" s="2"/>
      <c r="C455" s="2"/>
      <c r="D455" s="2"/>
      <c r="E455" s="2"/>
      <c r="F455" s="2"/>
      <c r="G455" s="2"/>
      <c r="H455" s="2"/>
      <c r="I455" s="40">
        <v>26940</v>
      </c>
      <c r="J455" s="39">
        <v>0.873427273</v>
      </c>
      <c r="K455" s="28">
        <v>0.49</v>
      </c>
      <c r="N455" s="28">
        <v>0.72</v>
      </c>
      <c r="Q455" s="28">
        <v>0.49</v>
      </c>
      <c r="T455" s="28">
        <v>0.48</v>
      </c>
      <c r="W455" s="28">
        <v>0.01</v>
      </c>
      <c r="Z455" s="28">
        <v>0.1</v>
      </c>
      <c r="AC455" s="28">
        <v>0.67</v>
      </c>
      <c r="AF455" s="28">
        <v>0.45500000000000002</v>
      </c>
      <c r="AI455" s="28">
        <v>0.42</v>
      </c>
      <c r="AL455" s="28">
        <v>0.66</v>
      </c>
      <c r="AO455" s="28">
        <v>0.41</v>
      </c>
      <c r="AR455" s="28">
        <v>0.42</v>
      </c>
      <c r="AU455" s="28">
        <v>0.48</v>
      </c>
      <c r="AX455" s="28">
        <v>9.5000000000000001E-2</v>
      </c>
      <c r="BA455" s="28">
        <v>0.18</v>
      </c>
    </row>
    <row r="456" spans="1:53" s="28" customFormat="1" ht="21" x14ac:dyDescent="0.35">
      <c r="A456" s="1"/>
      <c r="B456" s="2"/>
      <c r="C456" s="2"/>
      <c r="D456" s="2"/>
      <c r="E456" s="2"/>
      <c r="F456" s="2"/>
      <c r="G456" s="2"/>
      <c r="H456" s="2"/>
      <c r="I456" s="40">
        <v>27000</v>
      </c>
      <c r="J456" s="39">
        <v>0.86549696949999999</v>
      </c>
      <c r="K456" s="28">
        <v>0.49</v>
      </c>
      <c r="N456" s="28">
        <v>0.71</v>
      </c>
      <c r="Q456" s="28">
        <v>0.49</v>
      </c>
      <c r="T456" s="28">
        <v>0.47499999999999998</v>
      </c>
      <c r="W456" s="28">
        <v>5.0000000000000001E-3</v>
      </c>
      <c r="Z456" s="28">
        <v>0.09</v>
      </c>
      <c r="AC456" s="28">
        <v>0.67</v>
      </c>
      <c r="AF456" s="28">
        <v>0.45</v>
      </c>
      <c r="AI456" s="28">
        <v>0.42</v>
      </c>
      <c r="AL456" s="28">
        <v>0.66</v>
      </c>
      <c r="AO456" s="28">
        <v>0.41</v>
      </c>
      <c r="AR456" s="28">
        <v>0.42</v>
      </c>
      <c r="AU456" s="28">
        <v>0.48</v>
      </c>
      <c r="AX456" s="28">
        <v>0.09</v>
      </c>
      <c r="BA456" s="28">
        <v>0.18</v>
      </c>
    </row>
    <row r="457" spans="1:53" s="28" customFormat="1" ht="21" x14ac:dyDescent="0.35">
      <c r="A457" s="1"/>
      <c r="B457" s="2"/>
      <c r="C457" s="2"/>
      <c r="D457" s="2"/>
      <c r="E457" s="2"/>
      <c r="F457" s="2"/>
      <c r="G457" s="2"/>
      <c r="H457" s="2"/>
      <c r="I457" s="40">
        <v>27060</v>
      </c>
      <c r="J457" s="39">
        <v>0.85823636400000003</v>
      </c>
      <c r="K457" s="28">
        <v>0.49</v>
      </c>
      <c r="N457" s="28">
        <v>0.71</v>
      </c>
      <c r="Q457" s="28">
        <v>0.48499999999999999</v>
      </c>
      <c r="T457" s="28">
        <v>0.47</v>
      </c>
      <c r="W457" s="28">
        <v>0</v>
      </c>
      <c r="Z457" s="28">
        <v>0.09</v>
      </c>
      <c r="AC457" s="28">
        <v>0.67</v>
      </c>
      <c r="AF457" s="28">
        <v>0.45</v>
      </c>
      <c r="AI457" s="28">
        <v>0.42</v>
      </c>
      <c r="AL457" s="28">
        <v>0.66</v>
      </c>
      <c r="AO457" s="28">
        <v>0.41</v>
      </c>
      <c r="AR457" s="28">
        <v>0.42</v>
      </c>
      <c r="AU457" s="28">
        <v>0.48</v>
      </c>
      <c r="AX457" s="28">
        <v>0.08</v>
      </c>
      <c r="BA457" s="28">
        <v>0.17</v>
      </c>
    </row>
    <row r="458" spans="1:53" s="28" customFormat="1" ht="21" x14ac:dyDescent="0.35">
      <c r="A458" s="1"/>
      <c r="B458" s="2"/>
      <c r="C458" s="2"/>
      <c r="D458" s="2"/>
      <c r="E458" s="2"/>
      <c r="F458" s="2"/>
      <c r="G458" s="2"/>
      <c r="H458" s="2"/>
      <c r="I458" s="40">
        <v>27120</v>
      </c>
      <c r="J458" s="39">
        <v>0.85145151500000005</v>
      </c>
      <c r="K458" s="28">
        <v>0.49</v>
      </c>
      <c r="N458" s="28">
        <v>0.71</v>
      </c>
      <c r="Q458" s="28">
        <v>0.48</v>
      </c>
      <c r="T458" s="28">
        <v>0.47</v>
      </c>
      <c r="W458" s="28">
        <v>0</v>
      </c>
      <c r="Z458" s="28">
        <v>0.08</v>
      </c>
      <c r="AC458" s="28">
        <v>0.67</v>
      </c>
      <c r="AF458" s="28">
        <v>0.45</v>
      </c>
      <c r="AI458" s="28">
        <v>0.41</v>
      </c>
      <c r="AL458" s="28">
        <v>0.66</v>
      </c>
      <c r="AO458" s="28">
        <v>0.41</v>
      </c>
      <c r="AR458" s="28">
        <v>0.42</v>
      </c>
      <c r="AU458" s="28">
        <v>0.48</v>
      </c>
      <c r="AX458" s="28">
        <v>7.4999999999999997E-2</v>
      </c>
      <c r="BA458" s="28">
        <v>0.16500000000000001</v>
      </c>
    </row>
    <row r="459" spans="1:53" s="28" customFormat="1" ht="21" x14ac:dyDescent="0.35">
      <c r="A459" s="1"/>
      <c r="B459" s="2"/>
      <c r="C459" s="2"/>
      <c r="D459" s="2"/>
      <c r="E459" s="2"/>
      <c r="F459" s="2"/>
      <c r="G459" s="2"/>
      <c r="H459" s="2"/>
      <c r="I459" s="40">
        <v>27180</v>
      </c>
      <c r="J459" s="39">
        <v>0.8440363635</v>
      </c>
      <c r="K459" s="28">
        <v>0.49</v>
      </c>
      <c r="N459" s="28">
        <v>0.71</v>
      </c>
      <c r="Q459" s="28">
        <v>0.48</v>
      </c>
      <c r="T459" s="28">
        <v>0.47</v>
      </c>
      <c r="W459" s="28">
        <v>0</v>
      </c>
      <c r="Z459" s="28">
        <v>7.4999999999999997E-2</v>
      </c>
      <c r="AC459" s="28">
        <v>0.66</v>
      </c>
      <c r="AF459" s="28">
        <v>0.45</v>
      </c>
      <c r="AI459" s="28">
        <v>0.41</v>
      </c>
      <c r="AL459" s="28">
        <v>0.66</v>
      </c>
      <c r="AO459" s="28">
        <v>0.41</v>
      </c>
      <c r="AR459" s="28">
        <v>0.42</v>
      </c>
      <c r="AU459" s="28">
        <v>0.48</v>
      </c>
      <c r="AX459" s="28">
        <v>6.5000000000000002E-2</v>
      </c>
      <c r="BA459" s="28">
        <v>0.16</v>
      </c>
    </row>
    <row r="460" spans="1:53" s="28" customFormat="1" ht="21" x14ac:dyDescent="0.35">
      <c r="A460" s="1"/>
      <c r="B460" s="2"/>
      <c r="C460" s="2"/>
      <c r="D460" s="2"/>
      <c r="E460" s="2"/>
      <c r="F460" s="2"/>
      <c r="G460" s="2"/>
      <c r="H460" s="2"/>
      <c r="I460" s="40">
        <v>27240</v>
      </c>
      <c r="J460" s="39">
        <v>0.83601515150000005</v>
      </c>
      <c r="K460" s="28">
        <v>0.49</v>
      </c>
      <c r="N460" s="28">
        <v>0.70499999999999996</v>
      </c>
      <c r="Q460" s="28">
        <v>0.48</v>
      </c>
      <c r="T460" s="28">
        <v>0.46500000000000002</v>
      </c>
      <c r="W460" s="28">
        <v>0</v>
      </c>
      <c r="Z460" s="28">
        <v>7.0000000000000007E-2</v>
      </c>
      <c r="AC460" s="28">
        <v>0.66</v>
      </c>
      <c r="AF460" s="28">
        <v>0.44</v>
      </c>
      <c r="AI460" s="28">
        <v>0.41</v>
      </c>
      <c r="AL460" s="28">
        <v>0.66</v>
      </c>
      <c r="AO460" s="28">
        <v>0.41</v>
      </c>
      <c r="AR460" s="28">
        <v>0.41</v>
      </c>
      <c r="AU460" s="28">
        <v>0.47</v>
      </c>
      <c r="AX460" s="28">
        <v>5.5E-2</v>
      </c>
      <c r="BA460" s="28">
        <v>0.15</v>
      </c>
    </row>
    <row r="461" spans="1:53" s="28" customFormat="1" ht="21" x14ac:dyDescent="0.35">
      <c r="A461" s="1"/>
      <c r="B461" s="2"/>
      <c r="C461" s="2"/>
      <c r="D461" s="2"/>
      <c r="E461" s="2"/>
      <c r="F461" s="2"/>
      <c r="G461" s="2"/>
      <c r="H461" s="2"/>
      <c r="I461" s="40">
        <v>27300</v>
      </c>
      <c r="J461" s="39">
        <v>0.83069393950000003</v>
      </c>
      <c r="K461" s="28">
        <v>0.49</v>
      </c>
      <c r="N461" s="28">
        <v>0.7</v>
      </c>
      <c r="Q461" s="28">
        <v>0.47</v>
      </c>
      <c r="T461" s="28">
        <v>0.46</v>
      </c>
      <c r="W461" s="28">
        <v>0</v>
      </c>
      <c r="Z461" s="28">
        <v>0.06</v>
      </c>
      <c r="AC461" s="28">
        <v>0.66</v>
      </c>
      <c r="AF461" s="28">
        <v>0.44</v>
      </c>
      <c r="AI461" s="28">
        <v>0.40500000000000003</v>
      </c>
      <c r="AL461" s="28">
        <v>0.66</v>
      </c>
      <c r="AO461" s="28">
        <v>0.4</v>
      </c>
      <c r="AR461" s="28">
        <v>0.41</v>
      </c>
      <c r="AU461" s="28">
        <v>0.47</v>
      </c>
      <c r="AX461" s="28">
        <v>4.4999999999999998E-2</v>
      </c>
      <c r="BA461" s="28">
        <v>0.14499999999999999</v>
      </c>
    </row>
    <row r="462" spans="1:53" s="28" customFormat="1" ht="21" x14ac:dyDescent="0.35">
      <c r="A462" s="1"/>
      <c r="B462" s="2"/>
      <c r="C462" s="2"/>
      <c r="D462" s="2"/>
      <c r="E462" s="2"/>
      <c r="F462" s="2"/>
      <c r="G462" s="2"/>
      <c r="H462" s="2"/>
      <c r="I462" s="40">
        <v>27360</v>
      </c>
      <c r="J462" s="39">
        <v>0.82346363649999998</v>
      </c>
      <c r="K462" s="28">
        <v>0.49</v>
      </c>
      <c r="N462" s="28">
        <v>0.7</v>
      </c>
      <c r="Q462" s="28">
        <v>0.47</v>
      </c>
      <c r="T462" s="28">
        <v>0.46</v>
      </c>
      <c r="W462" s="28">
        <v>0</v>
      </c>
      <c r="Z462" s="28">
        <v>0.06</v>
      </c>
      <c r="AC462" s="28">
        <v>0.65</v>
      </c>
      <c r="AF462" s="28">
        <v>0.44</v>
      </c>
      <c r="AI462" s="28">
        <v>0.4</v>
      </c>
      <c r="AL462" s="28">
        <v>0.65500000000000003</v>
      </c>
      <c r="AO462" s="28">
        <v>0.4</v>
      </c>
      <c r="AR462" s="28">
        <v>0.41</v>
      </c>
      <c r="AU462" s="28">
        <v>0.46500000000000002</v>
      </c>
      <c r="AX462" s="28">
        <v>3.5000000000000003E-2</v>
      </c>
      <c r="BA462" s="28">
        <v>0.13500000000000001</v>
      </c>
    </row>
    <row r="463" spans="1:53" s="28" customFormat="1" ht="21" x14ac:dyDescent="0.35">
      <c r="A463" s="1"/>
      <c r="B463" s="2"/>
      <c r="C463" s="2"/>
      <c r="D463" s="2"/>
      <c r="E463" s="2"/>
      <c r="F463" s="2"/>
      <c r="G463" s="2"/>
      <c r="H463" s="2"/>
      <c r="I463" s="40">
        <v>27420</v>
      </c>
      <c r="J463" s="39">
        <v>0.81680302999999999</v>
      </c>
      <c r="K463" s="28">
        <v>0.48</v>
      </c>
      <c r="N463" s="28">
        <v>0.7</v>
      </c>
      <c r="Q463" s="28">
        <v>0.47</v>
      </c>
      <c r="T463" s="28">
        <v>0.46</v>
      </c>
      <c r="W463" s="28">
        <v>0</v>
      </c>
      <c r="Z463" s="28">
        <v>0.05</v>
      </c>
      <c r="AC463" s="28">
        <v>0.65</v>
      </c>
      <c r="AF463" s="28">
        <v>0.43</v>
      </c>
      <c r="AI463" s="28">
        <v>0.4</v>
      </c>
      <c r="AL463" s="28">
        <v>0.65</v>
      </c>
      <c r="AO463" s="28">
        <v>0.4</v>
      </c>
      <c r="AR463" s="28">
        <v>0.4</v>
      </c>
      <c r="AU463" s="28">
        <v>0.46</v>
      </c>
      <c r="AX463" s="28">
        <v>0.03</v>
      </c>
      <c r="BA463" s="28">
        <v>0.125</v>
      </c>
    </row>
    <row r="464" spans="1:53" s="28" customFormat="1" ht="21" x14ac:dyDescent="0.35">
      <c r="A464" s="1"/>
      <c r="B464" s="2"/>
      <c r="C464" s="2"/>
      <c r="D464" s="2"/>
      <c r="E464" s="2"/>
      <c r="F464" s="2"/>
      <c r="G464" s="2"/>
      <c r="H464" s="2"/>
      <c r="I464" s="40">
        <v>27480</v>
      </c>
      <c r="J464" s="39">
        <v>0.81187878800000002</v>
      </c>
      <c r="K464" s="28">
        <v>0.48</v>
      </c>
      <c r="N464" s="28">
        <v>0.69</v>
      </c>
      <c r="Q464" s="28">
        <v>0.46500000000000002</v>
      </c>
      <c r="T464" s="28">
        <v>0.45</v>
      </c>
      <c r="W464" s="28">
        <v>0</v>
      </c>
      <c r="Z464" s="28">
        <v>0.05</v>
      </c>
      <c r="AC464" s="28">
        <v>0.65</v>
      </c>
      <c r="AF464" s="28">
        <v>0.43</v>
      </c>
      <c r="AI464" s="28">
        <v>0.39</v>
      </c>
      <c r="AL464" s="28">
        <v>0.65</v>
      </c>
      <c r="AO464" s="28">
        <v>0.39500000000000002</v>
      </c>
      <c r="AR464" s="28">
        <v>0.4</v>
      </c>
      <c r="AU464" s="28">
        <v>0.45500000000000002</v>
      </c>
      <c r="AX464" s="28">
        <v>0.02</v>
      </c>
      <c r="BA464" s="28">
        <v>0.12</v>
      </c>
    </row>
    <row r="465" spans="1:53" s="28" customFormat="1" ht="21" x14ac:dyDescent="0.35">
      <c r="A465" s="1"/>
      <c r="B465" s="2"/>
      <c r="C465" s="2"/>
      <c r="D465" s="2"/>
      <c r="E465" s="2"/>
      <c r="F465" s="2"/>
      <c r="G465" s="2"/>
      <c r="H465" s="2"/>
      <c r="I465" s="40">
        <v>27540</v>
      </c>
      <c r="J465" s="39">
        <v>0.80576363600000001</v>
      </c>
      <c r="K465" s="28">
        <v>0.48</v>
      </c>
      <c r="N465" s="28">
        <v>0.69</v>
      </c>
      <c r="Q465" s="28">
        <v>0.46</v>
      </c>
      <c r="T465" s="28">
        <v>0.45</v>
      </c>
      <c r="W465" s="28">
        <v>0</v>
      </c>
      <c r="Z465" s="28">
        <v>0.05</v>
      </c>
      <c r="AC465" s="28">
        <v>0.64</v>
      </c>
      <c r="AF465" s="28">
        <v>0.43</v>
      </c>
      <c r="AI465" s="28">
        <v>0.39</v>
      </c>
      <c r="AL465" s="28">
        <v>0.64</v>
      </c>
      <c r="AO465" s="28">
        <v>0.39</v>
      </c>
      <c r="AR465" s="28">
        <v>0.4</v>
      </c>
      <c r="AU465" s="28">
        <v>0.45</v>
      </c>
      <c r="AX465" s="28">
        <v>0.02</v>
      </c>
      <c r="BA465" s="28">
        <v>0.11</v>
      </c>
    </row>
    <row r="466" spans="1:53" s="28" customFormat="1" ht="21" x14ac:dyDescent="0.35">
      <c r="A466" s="1"/>
      <c r="B466" s="2"/>
      <c r="C466" s="2"/>
      <c r="D466" s="2"/>
      <c r="E466" s="2"/>
      <c r="F466" s="2"/>
      <c r="G466" s="2"/>
      <c r="H466" s="2"/>
      <c r="I466" s="40">
        <v>27600</v>
      </c>
      <c r="J466" s="39">
        <v>0.80160302999999999</v>
      </c>
      <c r="K466" s="28">
        <v>0.48</v>
      </c>
      <c r="N466" s="28">
        <v>0.69</v>
      </c>
      <c r="Q466" s="28">
        <v>0.46</v>
      </c>
      <c r="T466" s="28">
        <v>0.45</v>
      </c>
      <c r="W466" s="28">
        <v>0</v>
      </c>
      <c r="Z466" s="28">
        <v>0.05</v>
      </c>
      <c r="AC466" s="28">
        <v>0.64</v>
      </c>
      <c r="AF466" s="28">
        <v>0.42</v>
      </c>
      <c r="AI466" s="28">
        <v>0.39</v>
      </c>
      <c r="AL466" s="28">
        <v>0.64</v>
      </c>
      <c r="AO466" s="28">
        <v>0.39</v>
      </c>
      <c r="AR466" s="28">
        <v>0.39</v>
      </c>
      <c r="AU466" s="28">
        <v>0.44</v>
      </c>
      <c r="AX466" s="28">
        <v>0.02</v>
      </c>
      <c r="BA466" s="28">
        <v>0.105</v>
      </c>
    </row>
    <row r="467" spans="1:53" s="28" customFormat="1" ht="21" x14ac:dyDescent="0.35">
      <c r="A467" s="1"/>
      <c r="B467" s="2"/>
      <c r="C467" s="2"/>
      <c r="D467" s="2"/>
      <c r="E467" s="2"/>
      <c r="F467" s="2"/>
      <c r="G467" s="2"/>
      <c r="H467" s="2"/>
      <c r="I467" s="40">
        <v>27660</v>
      </c>
      <c r="J467" s="39">
        <v>0.79676363650000004</v>
      </c>
      <c r="K467" s="28">
        <v>0.48</v>
      </c>
      <c r="N467" s="28">
        <v>0.69</v>
      </c>
      <c r="Q467" s="28">
        <v>0.46</v>
      </c>
      <c r="T467" s="28">
        <v>0.44500000000000001</v>
      </c>
      <c r="W467" s="28">
        <v>0</v>
      </c>
      <c r="Z467" s="28">
        <v>0.05</v>
      </c>
      <c r="AC467" s="28">
        <v>0.64</v>
      </c>
      <c r="AF467" s="28">
        <v>0.42</v>
      </c>
      <c r="AI467" s="28">
        <v>0.38</v>
      </c>
      <c r="AL467" s="28">
        <v>0.63500000000000001</v>
      </c>
      <c r="AO467" s="28">
        <v>0.38</v>
      </c>
      <c r="AR467" s="28">
        <v>0.39</v>
      </c>
      <c r="AU467" s="28">
        <v>0.44</v>
      </c>
      <c r="AX467" s="28">
        <v>1.4999999999999999E-2</v>
      </c>
      <c r="BA467" s="28">
        <v>9.5000000000000001E-2</v>
      </c>
    </row>
    <row r="468" spans="1:53" s="28" customFormat="1" ht="21" x14ac:dyDescent="0.35">
      <c r="A468" s="1"/>
      <c r="B468" s="2"/>
      <c r="C468" s="2"/>
      <c r="D468" s="2"/>
      <c r="E468" s="2"/>
      <c r="F468" s="2"/>
      <c r="G468" s="2"/>
      <c r="H468" s="2"/>
      <c r="I468" s="40">
        <v>27720</v>
      </c>
      <c r="J468" s="39">
        <v>0.79083333349999996</v>
      </c>
      <c r="K468" s="28">
        <v>0.48</v>
      </c>
      <c r="N468" s="28">
        <v>0.68</v>
      </c>
      <c r="Q468" s="28">
        <v>0.45500000000000002</v>
      </c>
      <c r="T468" s="28">
        <v>0.44</v>
      </c>
      <c r="W468" s="28">
        <v>0</v>
      </c>
      <c r="Z468" s="28">
        <v>4.4999999999999998E-2</v>
      </c>
      <c r="AC468" s="28">
        <v>0.63</v>
      </c>
      <c r="AF468" s="28">
        <v>0.41499999999999998</v>
      </c>
      <c r="AI468" s="28">
        <v>0.38</v>
      </c>
      <c r="AL468" s="28">
        <v>0.63</v>
      </c>
      <c r="AO468" s="28">
        <v>0.38</v>
      </c>
      <c r="AR468" s="28">
        <v>0.38</v>
      </c>
      <c r="AU468" s="28">
        <v>0.43</v>
      </c>
      <c r="AX468" s="28">
        <v>0.01</v>
      </c>
      <c r="BA468" s="28">
        <v>0.09</v>
      </c>
    </row>
    <row r="469" spans="1:53" s="28" customFormat="1" ht="21" x14ac:dyDescent="0.35">
      <c r="A469" s="1"/>
      <c r="B469" s="2"/>
      <c r="C469" s="2"/>
      <c r="D469" s="2"/>
      <c r="E469" s="2"/>
      <c r="F469" s="2"/>
      <c r="G469" s="2"/>
      <c r="H469" s="2"/>
      <c r="I469" s="40">
        <v>27780</v>
      </c>
      <c r="J469" s="39">
        <v>0.78628787850000004</v>
      </c>
      <c r="K469" s="28">
        <v>0.48</v>
      </c>
      <c r="N469" s="28">
        <v>0.68</v>
      </c>
      <c r="Q469" s="28">
        <v>0.45</v>
      </c>
      <c r="T469" s="28">
        <v>0.44</v>
      </c>
      <c r="W469" s="28">
        <v>0</v>
      </c>
      <c r="Z469" s="28">
        <v>0.04</v>
      </c>
      <c r="AC469" s="28">
        <v>0.63</v>
      </c>
      <c r="AF469" s="28">
        <v>0.41</v>
      </c>
      <c r="AI469" s="28">
        <v>0.375</v>
      </c>
      <c r="AL469" s="28">
        <v>0.625</v>
      </c>
      <c r="AO469" s="28">
        <v>0.37</v>
      </c>
      <c r="AR469" s="28">
        <v>0.38</v>
      </c>
      <c r="AU469" s="28">
        <v>0.42499999999999999</v>
      </c>
      <c r="AX469" s="28">
        <v>0.01</v>
      </c>
      <c r="BA469" s="28">
        <v>0.08</v>
      </c>
    </row>
    <row r="470" spans="1:53" s="28" customFormat="1" ht="21" x14ac:dyDescent="0.35">
      <c r="A470" s="1"/>
      <c r="B470" s="2"/>
      <c r="C470" s="2"/>
      <c r="D470" s="2"/>
      <c r="E470" s="2"/>
      <c r="F470" s="2"/>
      <c r="G470" s="2"/>
      <c r="H470" s="2"/>
      <c r="I470" s="40">
        <v>27840</v>
      </c>
      <c r="J470" s="39">
        <v>0.78070909050000004</v>
      </c>
      <c r="K470" s="28">
        <v>0.48</v>
      </c>
      <c r="N470" s="28">
        <v>0.68</v>
      </c>
      <c r="Q470" s="28">
        <v>0.45</v>
      </c>
      <c r="T470" s="28">
        <v>0.435</v>
      </c>
      <c r="W470" s="28">
        <v>0</v>
      </c>
      <c r="Z470" s="28">
        <v>0.04</v>
      </c>
      <c r="AC470" s="28">
        <v>0.625</v>
      </c>
      <c r="AF470" s="28">
        <v>0.41</v>
      </c>
      <c r="AI470" s="28">
        <v>0.37</v>
      </c>
      <c r="AL470" s="28">
        <v>0.62</v>
      </c>
      <c r="AO470" s="28">
        <v>0.37</v>
      </c>
      <c r="AR470" s="28">
        <v>0.37</v>
      </c>
      <c r="AU470" s="28">
        <v>0.41499999999999998</v>
      </c>
      <c r="AX470" s="28">
        <v>5.0000000000000001E-3</v>
      </c>
      <c r="BA470" s="28">
        <v>7.0000000000000007E-2</v>
      </c>
    </row>
    <row r="471" spans="1:53" s="28" customFormat="1" ht="21" x14ac:dyDescent="0.35">
      <c r="A471" s="1"/>
      <c r="B471" s="2"/>
      <c r="C471" s="2"/>
      <c r="D471" s="2"/>
      <c r="E471" s="2"/>
      <c r="F471" s="2"/>
      <c r="G471" s="2"/>
      <c r="H471" s="2"/>
      <c r="I471" s="40">
        <v>27900</v>
      </c>
      <c r="J471" s="39">
        <v>0.77600000000000002</v>
      </c>
      <c r="K471" s="28">
        <v>0.48</v>
      </c>
      <c r="N471" s="28">
        <v>0.67500000000000004</v>
      </c>
      <c r="Q471" s="28">
        <v>0.44500000000000001</v>
      </c>
      <c r="T471" s="28">
        <v>0.43</v>
      </c>
      <c r="W471" s="28">
        <v>0</v>
      </c>
      <c r="Z471" s="28">
        <v>3.5000000000000003E-2</v>
      </c>
      <c r="AC471" s="28">
        <v>0.62</v>
      </c>
      <c r="AF471" s="28">
        <v>0.4</v>
      </c>
      <c r="AI471" s="28">
        <v>0.36499999999999999</v>
      </c>
      <c r="AL471" s="28">
        <v>0.61499999999999999</v>
      </c>
      <c r="AO471" s="28">
        <v>0.36</v>
      </c>
      <c r="AR471" s="28">
        <v>0.37</v>
      </c>
      <c r="AU471" s="28">
        <v>0.41</v>
      </c>
      <c r="AX471" s="28">
        <v>0</v>
      </c>
      <c r="BA471" s="28">
        <v>0.06</v>
      </c>
    </row>
    <row r="472" spans="1:53" s="28" customFormat="1" ht="21" x14ac:dyDescent="0.35">
      <c r="A472" s="1"/>
      <c r="B472" s="2"/>
      <c r="C472" s="2"/>
      <c r="D472" s="2"/>
      <c r="E472" s="2"/>
      <c r="F472" s="2"/>
      <c r="G472" s="2"/>
      <c r="H472" s="2"/>
      <c r="I472" s="40">
        <v>27960</v>
      </c>
      <c r="J472" s="39">
        <v>0.77128787899999995</v>
      </c>
      <c r="K472" s="28">
        <v>0.47</v>
      </c>
      <c r="N472" s="28">
        <v>0.67</v>
      </c>
      <c r="Q472" s="28">
        <v>0.44</v>
      </c>
      <c r="T472" s="28">
        <v>0.43</v>
      </c>
      <c r="W472" s="28">
        <v>0</v>
      </c>
      <c r="Z472" s="28">
        <v>0.03</v>
      </c>
      <c r="AC472" s="28">
        <v>0.61499999999999999</v>
      </c>
      <c r="AF472" s="28">
        <v>0.4</v>
      </c>
      <c r="AI472" s="28">
        <v>0.36</v>
      </c>
      <c r="AL472" s="28">
        <v>0.61</v>
      </c>
      <c r="AO472" s="28">
        <v>0.35499999999999998</v>
      </c>
      <c r="AR472" s="28">
        <v>0.36</v>
      </c>
      <c r="AU472" s="28">
        <v>0.4</v>
      </c>
      <c r="AX472" s="28">
        <v>0</v>
      </c>
      <c r="BA472" s="28">
        <v>4.4999999999999998E-2</v>
      </c>
    </row>
    <row r="473" spans="1:53" s="28" customFormat="1" ht="21" x14ac:dyDescent="0.35">
      <c r="A473" s="1"/>
      <c r="B473" s="2"/>
      <c r="C473" s="2"/>
      <c r="D473" s="2"/>
      <c r="E473" s="2"/>
      <c r="F473" s="2"/>
      <c r="G473" s="2"/>
      <c r="H473" s="2"/>
      <c r="I473" s="40">
        <v>28020</v>
      </c>
      <c r="J473" s="39">
        <v>0.76588787849999995</v>
      </c>
      <c r="K473" s="28">
        <v>0.47</v>
      </c>
      <c r="N473" s="28">
        <v>0.67</v>
      </c>
      <c r="Q473" s="28">
        <v>0.44</v>
      </c>
      <c r="T473" s="28">
        <v>0.43</v>
      </c>
      <c r="W473" s="28">
        <v>0</v>
      </c>
      <c r="Z473" s="28">
        <v>2.5000000000000001E-2</v>
      </c>
      <c r="AC473" s="28">
        <v>0.61</v>
      </c>
      <c r="AF473" s="28">
        <v>0.39</v>
      </c>
      <c r="AI473" s="28">
        <v>0.35499999999999998</v>
      </c>
      <c r="AL473" s="28">
        <v>0.6</v>
      </c>
      <c r="AO473" s="28">
        <v>0.35</v>
      </c>
      <c r="AR473" s="28">
        <v>0.35499999999999998</v>
      </c>
      <c r="AU473" s="28">
        <v>0.39500000000000002</v>
      </c>
      <c r="AX473" s="28">
        <v>0</v>
      </c>
      <c r="BA473" s="28">
        <v>3.5000000000000003E-2</v>
      </c>
    </row>
    <row r="474" spans="1:53" s="28" customFormat="1" ht="21" x14ac:dyDescent="0.35">
      <c r="A474" s="1"/>
      <c r="B474" s="2"/>
      <c r="C474" s="2"/>
      <c r="D474" s="2"/>
      <c r="E474" s="2"/>
      <c r="F474" s="2"/>
      <c r="G474" s="2"/>
      <c r="H474" s="2"/>
      <c r="I474" s="40">
        <v>28080</v>
      </c>
      <c r="J474" s="39">
        <v>0.76084242400000002</v>
      </c>
      <c r="K474" s="28">
        <v>0.47</v>
      </c>
      <c r="N474" s="28">
        <v>0.66500000000000004</v>
      </c>
      <c r="Q474" s="28">
        <v>0.435</v>
      </c>
      <c r="T474" s="28">
        <v>0.42</v>
      </c>
      <c r="W474" s="28">
        <v>0</v>
      </c>
      <c r="Z474" s="28">
        <v>1.4999999999999999E-2</v>
      </c>
      <c r="AC474" s="28">
        <v>0.61</v>
      </c>
      <c r="AF474" s="28">
        <v>0.39</v>
      </c>
      <c r="AI474" s="28">
        <v>0.35</v>
      </c>
      <c r="AL474" s="28">
        <v>0.59499999999999997</v>
      </c>
      <c r="AO474" s="28">
        <v>0.34</v>
      </c>
      <c r="AR474" s="28">
        <v>0.35</v>
      </c>
      <c r="AU474" s="28">
        <v>0.38500000000000001</v>
      </c>
      <c r="AX474" s="28">
        <v>0</v>
      </c>
      <c r="BA474" s="28">
        <v>2.5000000000000001E-2</v>
      </c>
    </row>
    <row r="475" spans="1:53" s="28" customFormat="1" ht="21" x14ac:dyDescent="0.35">
      <c r="A475" s="1"/>
      <c r="B475" s="2"/>
      <c r="C475" s="2"/>
      <c r="D475" s="2"/>
      <c r="E475" s="2"/>
      <c r="F475" s="2"/>
      <c r="G475" s="2"/>
      <c r="H475" s="2"/>
      <c r="I475" s="40">
        <v>28140</v>
      </c>
      <c r="J475" s="39">
        <v>0.7561333335</v>
      </c>
      <c r="K475" s="28">
        <v>0.47</v>
      </c>
      <c r="N475" s="28">
        <v>0.66</v>
      </c>
      <c r="Q475" s="28">
        <v>0.43</v>
      </c>
      <c r="T475" s="28">
        <v>0.42</v>
      </c>
      <c r="W475" s="28">
        <v>0</v>
      </c>
      <c r="Z475" s="28">
        <v>0.01</v>
      </c>
      <c r="AC475" s="28">
        <v>0.6</v>
      </c>
      <c r="AF475" s="28">
        <v>0.38</v>
      </c>
      <c r="AI475" s="28">
        <v>0.35</v>
      </c>
      <c r="AL475" s="28">
        <v>0.59</v>
      </c>
      <c r="AO475" s="28">
        <v>0.33500000000000002</v>
      </c>
      <c r="AR475" s="28">
        <v>0.34</v>
      </c>
      <c r="AU475" s="28">
        <v>0.375</v>
      </c>
      <c r="AX475" s="28">
        <v>0</v>
      </c>
      <c r="BA475" s="28">
        <v>1.4999999999999999E-2</v>
      </c>
    </row>
    <row r="476" spans="1:53" s="28" customFormat="1" ht="21" x14ac:dyDescent="0.35">
      <c r="A476" s="1"/>
      <c r="B476" s="2"/>
      <c r="C476" s="2"/>
      <c r="D476" s="2"/>
      <c r="E476" s="2"/>
      <c r="F476" s="2"/>
      <c r="G476" s="2"/>
      <c r="H476" s="2"/>
      <c r="I476" s="40">
        <v>28200</v>
      </c>
      <c r="J476" s="39">
        <v>0.75077272699999997</v>
      </c>
      <c r="K476" s="28">
        <v>0.47</v>
      </c>
      <c r="N476" s="28">
        <v>0.66</v>
      </c>
      <c r="Q476" s="28">
        <v>0.43</v>
      </c>
      <c r="T476" s="28">
        <v>0.41499999999999998</v>
      </c>
      <c r="W476" s="28">
        <v>0</v>
      </c>
      <c r="Z476" s="28">
        <v>5.0000000000000001E-3</v>
      </c>
      <c r="AC476" s="28">
        <v>0.6</v>
      </c>
      <c r="AF476" s="28">
        <v>0.38</v>
      </c>
      <c r="AI476" s="28">
        <v>0.34</v>
      </c>
      <c r="AL476" s="28">
        <v>0.57999999999999996</v>
      </c>
      <c r="AO476" s="28">
        <v>0.33</v>
      </c>
      <c r="AR476" s="28">
        <v>0.33500000000000002</v>
      </c>
      <c r="AU476" s="28">
        <v>0.37</v>
      </c>
      <c r="AX476" s="28">
        <v>0</v>
      </c>
      <c r="BA476" s="28">
        <v>0.01</v>
      </c>
    </row>
    <row r="477" spans="1:53" s="28" customFormat="1" ht="21" x14ac:dyDescent="0.35">
      <c r="A477" s="1"/>
      <c r="B477" s="2"/>
      <c r="C477" s="2"/>
      <c r="D477" s="2"/>
      <c r="E477" s="2"/>
      <c r="F477" s="2"/>
      <c r="G477" s="2"/>
      <c r="H477" s="2"/>
      <c r="I477" s="40">
        <v>28260</v>
      </c>
      <c r="J477" s="39">
        <v>0.74672424199999998</v>
      </c>
      <c r="K477" s="28">
        <v>0.47</v>
      </c>
      <c r="N477" s="28">
        <v>0.65500000000000003</v>
      </c>
      <c r="Q477" s="28">
        <v>0.42499999999999999</v>
      </c>
      <c r="T477" s="28">
        <v>0.41</v>
      </c>
      <c r="W477" s="28">
        <v>0</v>
      </c>
      <c r="Z477" s="28">
        <v>0</v>
      </c>
      <c r="AC477" s="28">
        <v>0.59</v>
      </c>
      <c r="AF477" s="28">
        <v>0.375</v>
      </c>
      <c r="AI477" s="28">
        <v>0.34</v>
      </c>
      <c r="AL477" s="28">
        <v>0.57499999999999996</v>
      </c>
      <c r="AO477" s="28">
        <v>0.32</v>
      </c>
      <c r="AR477" s="28">
        <v>0.33</v>
      </c>
      <c r="AU477" s="28">
        <v>0.36</v>
      </c>
      <c r="AX477" s="28">
        <v>0</v>
      </c>
      <c r="BA477" s="28">
        <v>0</v>
      </c>
    </row>
    <row r="478" spans="1:53" s="28" customFormat="1" ht="21" x14ac:dyDescent="0.35">
      <c r="A478" s="1"/>
      <c r="B478" s="2"/>
      <c r="C478" s="2"/>
      <c r="D478" s="2"/>
      <c r="E478" s="2"/>
      <c r="F478" s="2"/>
      <c r="G478" s="2"/>
      <c r="H478" s="2"/>
      <c r="I478" s="40">
        <v>28320</v>
      </c>
      <c r="J478" s="39">
        <v>0.74269393949999996</v>
      </c>
      <c r="K478" s="28">
        <v>0.47</v>
      </c>
      <c r="N478" s="28">
        <v>0.65</v>
      </c>
      <c r="Q478" s="28">
        <v>0.42</v>
      </c>
      <c r="T478" s="28">
        <v>0.41</v>
      </c>
      <c r="W478" s="28">
        <v>0</v>
      </c>
      <c r="Z478" s="28">
        <v>0</v>
      </c>
      <c r="AC478" s="28">
        <v>0.59</v>
      </c>
      <c r="AF478" s="28">
        <v>0.37</v>
      </c>
      <c r="AI478" s="28">
        <v>0.33</v>
      </c>
      <c r="AL478" s="28">
        <v>0.56999999999999995</v>
      </c>
      <c r="AO478" s="28">
        <v>0.315</v>
      </c>
      <c r="AR478" s="28">
        <v>0.32</v>
      </c>
      <c r="AU478" s="28">
        <v>0.35</v>
      </c>
      <c r="AX478" s="28">
        <v>0</v>
      </c>
      <c r="BA478" s="28">
        <v>0</v>
      </c>
    </row>
    <row r="479" spans="1:53" s="28" customFormat="1" ht="21" x14ac:dyDescent="0.35">
      <c r="A479" s="1"/>
      <c r="B479" s="2"/>
      <c r="C479" s="2"/>
      <c r="D479" s="2"/>
      <c r="E479" s="2"/>
      <c r="F479" s="2"/>
      <c r="G479" s="2"/>
      <c r="H479" s="2"/>
      <c r="I479" s="40">
        <v>28380</v>
      </c>
      <c r="J479" s="39">
        <v>0.737269697</v>
      </c>
      <c r="K479" s="28">
        <v>0.47</v>
      </c>
      <c r="N479" s="28">
        <v>0.65</v>
      </c>
      <c r="Q479" s="28">
        <v>0.42</v>
      </c>
      <c r="T479" s="28">
        <v>0.40500000000000003</v>
      </c>
      <c r="W479" s="28">
        <v>0</v>
      </c>
      <c r="Z479" s="28">
        <v>0</v>
      </c>
      <c r="AC479" s="28">
        <v>0.57999999999999996</v>
      </c>
      <c r="AF479" s="28">
        <v>0.36499999999999999</v>
      </c>
      <c r="AI479" s="28">
        <v>0.33</v>
      </c>
      <c r="AL479" s="28">
        <v>0.56000000000000005</v>
      </c>
      <c r="AO479" s="28">
        <v>0.30499999999999999</v>
      </c>
      <c r="AR479" s="28">
        <v>0.31</v>
      </c>
      <c r="AU479" s="28">
        <v>0.34</v>
      </c>
      <c r="AX479" s="28">
        <v>0</v>
      </c>
      <c r="BA479" s="28">
        <v>0</v>
      </c>
    </row>
    <row r="480" spans="1:53" s="28" customFormat="1" ht="21" x14ac:dyDescent="0.35">
      <c r="A480" s="1"/>
      <c r="B480" s="2"/>
      <c r="C480" s="2"/>
      <c r="D480" s="2"/>
      <c r="E480" s="2"/>
      <c r="F480" s="2"/>
      <c r="G480" s="2"/>
      <c r="H480" s="2"/>
      <c r="I480" s="40">
        <v>28440</v>
      </c>
      <c r="J480" s="39">
        <v>0.73244242400000004</v>
      </c>
      <c r="K480" s="28">
        <v>0.46</v>
      </c>
      <c r="N480" s="28">
        <v>0.64500000000000002</v>
      </c>
      <c r="Q480" s="28">
        <v>0.41499999999999998</v>
      </c>
      <c r="T480" s="28">
        <v>0.4</v>
      </c>
      <c r="W480" s="28">
        <v>0</v>
      </c>
      <c r="Z480" s="28">
        <v>0</v>
      </c>
      <c r="AC480" s="28">
        <v>0.57999999999999996</v>
      </c>
      <c r="AF480" s="28">
        <v>0.36</v>
      </c>
      <c r="AI480" s="28">
        <v>0.32</v>
      </c>
      <c r="AL480" s="28">
        <v>0.55500000000000005</v>
      </c>
      <c r="AO480" s="28">
        <v>0.3</v>
      </c>
      <c r="AR480" s="28">
        <v>0.30499999999999999</v>
      </c>
      <c r="AU480" s="28">
        <v>0.33</v>
      </c>
      <c r="AX480" s="28">
        <v>0</v>
      </c>
      <c r="BA480" s="28">
        <v>0</v>
      </c>
    </row>
    <row r="481" spans="1:53" s="28" customFormat="1" ht="21" x14ac:dyDescent="0.35">
      <c r="A481" s="1"/>
      <c r="B481" s="2"/>
      <c r="C481" s="2"/>
      <c r="D481" s="2"/>
      <c r="E481" s="2"/>
      <c r="F481" s="2"/>
      <c r="G481" s="2"/>
      <c r="H481" s="2"/>
      <c r="I481" s="40">
        <v>28500</v>
      </c>
      <c r="J481" s="39">
        <v>0.728060606</v>
      </c>
      <c r="K481" s="28">
        <v>0.46</v>
      </c>
      <c r="N481" s="28">
        <v>0.64</v>
      </c>
      <c r="Q481" s="28">
        <v>0.41</v>
      </c>
      <c r="T481" s="28">
        <v>0.4</v>
      </c>
      <c r="W481" s="28">
        <v>0</v>
      </c>
      <c r="Z481" s="28">
        <v>0</v>
      </c>
      <c r="AC481" s="28">
        <v>0.56999999999999995</v>
      </c>
      <c r="AF481" s="28">
        <v>0.35499999999999998</v>
      </c>
      <c r="AI481" s="28">
        <v>0.32</v>
      </c>
      <c r="AL481" s="28">
        <v>0.54500000000000004</v>
      </c>
      <c r="AO481" s="28">
        <v>0.28999999999999998</v>
      </c>
      <c r="AR481" s="28">
        <v>0.3</v>
      </c>
      <c r="AU481" s="28">
        <v>0.32</v>
      </c>
      <c r="AX481" s="28">
        <v>0</v>
      </c>
      <c r="BA481" s="28">
        <v>0</v>
      </c>
    </row>
    <row r="482" spans="1:53" s="28" customFormat="1" ht="21" x14ac:dyDescent="0.35">
      <c r="A482" s="1"/>
      <c r="B482" s="2"/>
      <c r="C482" s="2"/>
      <c r="D482" s="2"/>
      <c r="E482" s="2"/>
      <c r="F482" s="2"/>
      <c r="G482" s="2"/>
      <c r="H482" s="2"/>
      <c r="I482" s="40">
        <v>28560</v>
      </c>
      <c r="J482" s="39">
        <v>0.72350909100000005</v>
      </c>
      <c r="K482" s="28">
        <v>0.46</v>
      </c>
      <c r="N482" s="28">
        <v>0.64</v>
      </c>
      <c r="Q482" s="28">
        <v>0.41</v>
      </c>
      <c r="T482" s="28">
        <v>0.39500000000000002</v>
      </c>
      <c r="W482" s="28">
        <v>0</v>
      </c>
      <c r="Z482" s="28">
        <v>0</v>
      </c>
      <c r="AC482" s="28">
        <v>0.56999999999999995</v>
      </c>
      <c r="AF482" s="28">
        <v>0.35</v>
      </c>
      <c r="AI482" s="28">
        <v>0.31</v>
      </c>
      <c r="AL482" s="28">
        <v>0.54</v>
      </c>
      <c r="AO482" s="28">
        <v>0.28499999999999998</v>
      </c>
      <c r="AR482" s="28">
        <v>0.28999999999999998</v>
      </c>
      <c r="AU482" s="28">
        <v>0.315</v>
      </c>
      <c r="AX482" s="28">
        <v>0</v>
      </c>
      <c r="BA482" s="28">
        <v>0</v>
      </c>
    </row>
    <row r="483" spans="1:53" s="28" customFormat="1" ht="21" x14ac:dyDescent="0.35">
      <c r="A483" s="1"/>
      <c r="B483" s="2"/>
      <c r="C483" s="2"/>
      <c r="D483" s="2"/>
      <c r="E483" s="2"/>
      <c r="F483" s="2"/>
      <c r="G483" s="2"/>
      <c r="H483" s="2"/>
      <c r="I483" s="40">
        <v>28620</v>
      </c>
      <c r="J483" s="39">
        <v>0.71889696999999997</v>
      </c>
      <c r="K483" s="28">
        <v>0.46</v>
      </c>
      <c r="N483" s="28">
        <v>0.63500000000000001</v>
      </c>
      <c r="Q483" s="28">
        <v>0.4</v>
      </c>
      <c r="T483" s="28">
        <v>0.39</v>
      </c>
      <c r="W483" s="28">
        <v>0</v>
      </c>
      <c r="Z483" s="28">
        <v>0</v>
      </c>
      <c r="AC483" s="28">
        <v>0.56000000000000005</v>
      </c>
      <c r="AF483" s="28">
        <v>0.34499999999999997</v>
      </c>
      <c r="AI483" s="28">
        <v>0.31</v>
      </c>
      <c r="AL483" s="28">
        <v>0.53</v>
      </c>
      <c r="AO483" s="28">
        <v>0.27500000000000002</v>
      </c>
      <c r="AR483" s="28">
        <v>0.28000000000000003</v>
      </c>
      <c r="AU483" s="28">
        <v>0.30499999999999999</v>
      </c>
      <c r="AX483" s="28">
        <v>0</v>
      </c>
      <c r="BA483" s="28">
        <v>0</v>
      </c>
    </row>
    <row r="484" spans="1:53" s="28" customFormat="1" ht="21" x14ac:dyDescent="0.35">
      <c r="A484" s="1"/>
      <c r="B484" s="2"/>
      <c r="C484" s="2"/>
      <c r="D484" s="2"/>
      <c r="E484" s="2"/>
      <c r="F484" s="2"/>
      <c r="G484" s="2"/>
      <c r="H484" s="2"/>
      <c r="I484" s="40">
        <v>28680</v>
      </c>
      <c r="J484" s="39">
        <v>0.71338484849999995</v>
      </c>
      <c r="K484" s="28">
        <v>0.46</v>
      </c>
      <c r="N484" s="28">
        <v>0.63</v>
      </c>
      <c r="Q484" s="28">
        <v>0.4</v>
      </c>
      <c r="T484" s="28">
        <v>0.39</v>
      </c>
      <c r="W484" s="28">
        <v>0</v>
      </c>
      <c r="Z484" s="28">
        <v>0</v>
      </c>
      <c r="AC484" s="28">
        <v>0.56000000000000005</v>
      </c>
      <c r="AF484" s="28">
        <v>0.34</v>
      </c>
      <c r="AI484" s="28">
        <v>0.3</v>
      </c>
      <c r="AL484" s="28">
        <v>0.52500000000000002</v>
      </c>
      <c r="AO484" s="28">
        <v>0.27</v>
      </c>
      <c r="AR484" s="28">
        <v>0.27500000000000002</v>
      </c>
      <c r="AU484" s="28">
        <v>0.29499999999999998</v>
      </c>
      <c r="AX484" s="28">
        <v>0</v>
      </c>
      <c r="BA484" s="28">
        <v>0</v>
      </c>
    </row>
    <row r="485" spans="1:53" s="28" customFormat="1" ht="21" x14ac:dyDescent="0.35">
      <c r="A485" s="1"/>
      <c r="B485" s="2"/>
      <c r="C485" s="2"/>
      <c r="D485" s="2"/>
      <c r="E485" s="2"/>
      <c r="F485" s="2"/>
      <c r="G485" s="2"/>
      <c r="H485" s="2"/>
      <c r="I485" s="40">
        <v>28740</v>
      </c>
      <c r="J485" s="39">
        <v>0.70924242449999997</v>
      </c>
      <c r="K485" s="28">
        <v>0.46</v>
      </c>
      <c r="N485" s="28">
        <v>0.63</v>
      </c>
      <c r="Q485" s="28">
        <v>0.39500000000000002</v>
      </c>
      <c r="T485" s="28">
        <v>0.38</v>
      </c>
      <c r="W485" s="28">
        <v>0</v>
      </c>
      <c r="Z485" s="28">
        <v>0</v>
      </c>
      <c r="AC485" s="28">
        <v>0.55000000000000004</v>
      </c>
      <c r="AF485" s="28">
        <v>0.33500000000000002</v>
      </c>
      <c r="AI485" s="28">
        <v>0.3</v>
      </c>
      <c r="AL485" s="28">
        <v>0.51500000000000001</v>
      </c>
      <c r="AO485" s="28">
        <v>0.26</v>
      </c>
      <c r="AR485" s="28">
        <v>0.26500000000000001</v>
      </c>
      <c r="AU485" s="28">
        <v>0.28999999999999998</v>
      </c>
      <c r="AX485" s="28">
        <v>0</v>
      </c>
      <c r="BA485" s="28">
        <v>0</v>
      </c>
    </row>
    <row r="486" spans="1:53" s="28" customFormat="1" ht="21" x14ac:dyDescent="0.35">
      <c r="A486" s="1"/>
      <c r="B486" s="2"/>
      <c r="C486" s="2"/>
      <c r="D486" s="2"/>
      <c r="E486" s="2"/>
      <c r="F486" s="2"/>
      <c r="G486" s="2"/>
      <c r="H486" s="2"/>
      <c r="I486" s="40">
        <v>28800</v>
      </c>
      <c r="J486" s="39">
        <v>0.70350303049999996</v>
      </c>
      <c r="K486" s="28">
        <v>0.46</v>
      </c>
      <c r="N486" s="28">
        <v>0.62</v>
      </c>
      <c r="Q486" s="28">
        <v>0.39</v>
      </c>
      <c r="T486" s="28">
        <v>0.38</v>
      </c>
      <c r="W486" s="28">
        <v>0</v>
      </c>
      <c r="Z486" s="28">
        <v>0</v>
      </c>
      <c r="AC486" s="28">
        <v>0.55000000000000004</v>
      </c>
      <c r="AF486" s="28">
        <v>0.33</v>
      </c>
      <c r="AI486" s="28">
        <v>0.28999999999999998</v>
      </c>
      <c r="AL486" s="28">
        <v>0.51</v>
      </c>
      <c r="AO486" s="28">
        <v>0.25</v>
      </c>
      <c r="AR486" s="28">
        <v>0.26</v>
      </c>
      <c r="AU486" s="28">
        <v>0.28000000000000003</v>
      </c>
      <c r="AX486" s="28">
        <v>0</v>
      </c>
      <c r="BA486" s="28">
        <v>0</v>
      </c>
    </row>
    <row r="487" spans="1:53" s="28" customFormat="1" ht="21" x14ac:dyDescent="0.35">
      <c r="A487" s="1"/>
      <c r="B487" s="2"/>
      <c r="C487" s="2"/>
      <c r="D487" s="2"/>
      <c r="E487" s="2"/>
      <c r="F487" s="2"/>
      <c r="G487" s="2"/>
      <c r="H487" s="2"/>
      <c r="I487" s="40">
        <v>28860</v>
      </c>
      <c r="J487" s="39">
        <v>0.69944242400000001</v>
      </c>
      <c r="K487" s="28">
        <v>0.45</v>
      </c>
      <c r="N487" s="28">
        <v>0.62</v>
      </c>
      <c r="Q487" s="28">
        <v>0.39</v>
      </c>
      <c r="T487" s="28">
        <v>0.38</v>
      </c>
      <c r="W487" s="28">
        <v>0</v>
      </c>
      <c r="Z487" s="28">
        <v>0</v>
      </c>
      <c r="AC487" s="28">
        <v>0.54</v>
      </c>
      <c r="AF487" s="28">
        <v>0.32500000000000001</v>
      </c>
      <c r="AI487" s="28">
        <v>0.28999999999999998</v>
      </c>
      <c r="AL487" s="28">
        <v>0.5</v>
      </c>
      <c r="AO487" s="28">
        <v>0.245</v>
      </c>
      <c r="AR487" s="28">
        <v>0.25</v>
      </c>
      <c r="AU487" s="28">
        <v>0.27</v>
      </c>
      <c r="AX487" s="28">
        <v>0</v>
      </c>
      <c r="BA487" s="28">
        <v>0</v>
      </c>
    </row>
    <row r="488" spans="1:53" s="28" customFormat="1" ht="21" x14ac:dyDescent="0.35">
      <c r="A488" s="1"/>
      <c r="B488" s="2"/>
      <c r="C488" s="2"/>
      <c r="D488" s="2"/>
      <c r="E488" s="2"/>
      <c r="F488" s="2"/>
      <c r="G488" s="2"/>
      <c r="H488" s="2"/>
      <c r="I488" s="40">
        <v>28920</v>
      </c>
      <c r="J488" s="39">
        <v>0.69420000000000004</v>
      </c>
      <c r="K488" s="28">
        <v>0.45</v>
      </c>
      <c r="N488" s="28">
        <v>0.62</v>
      </c>
      <c r="Q488" s="28">
        <v>0.38</v>
      </c>
      <c r="T488" s="28">
        <v>0.37</v>
      </c>
      <c r="W488" s="28">
        <v>0</v>
      </c>
      <c r="Z488" s="28">
        <v>0</v>
      </c>
      <c r="AC488" s="28">
        <v>0.54</v>
      </c>
      <c r="AF488" s="28">
        <v>0.32</v>
      </c>
      <c r="AI488" s="28">
        <v>0.28499999999999998</v>
      </c>
      <c r="AL488" s="28">
        <v>0.49</v>
      </c>
      <c r="AO488" s="28">
        <v>0.23499999999999999</v>
      </c>
      <c r="AR488" s="28">
        <v>0.24</v>
      </c>
      <c r="AU488" s="28">
        <v>0.26</v>
      </c>
      <c r="AX488" s="28">
        <v>0</v>
      </c>
      <c r="BA488" s="28">
        <v>0</v>
      </c>
    </row>
    <row r="489" spans="1:53" s="28" customFormat="1" ht="21" x14ac:dyDescent="0.35">
      <c r="A489" s="1"/>
      <c r="B489" s="2"/>
      <c r="C489" s="2"/>
      <c r="D489" s="2"/>
      <c r="E489" s="2"/>
      <c r="F489" s="2"/>
      <c r="G489" s="2"/>
      <c r="H489" s="2"/>
      <c r="I489" s="40">
        <v>28980</v>
      </c>
      <c r="J489" s="39">
        <v>0.68960606049999995</v>
      </c>
      <c r="K489" s="28">
        <v>0.45</v>
      </c>
      <c r="N489" s="28">
        <v>0.61</v>
      </c>
      <c r="Q489" s="28">
        <v>0.38</v>
      </c>
      <c r="T489" s="28">
        <v>0.37</v>
      </c>
      <c r="W489" s="28">
        <v>0</v>
      </c>
      <c r="Z489" s="28">
        <v>0</v>
      </c>
      <c r="AC489" s="28">
        <v>0.53</v>
      </c>
      <c r="AF489" s="28">
        <v>0.315</v>
      </c>
      <c r="AI489" s="28">
        <v>0.28000000000000003</v>
      </c>
      <c r="AL489" s="28">
        <v>0.48499999999999999</v>
      </c>
      <c r="AO489" s="28">
        <v>0.23</v>
      </c>
      <c r="AR489" s="28">
        <v>0.23499999999999999</v>
      </c>
      <c r="AU489" s="28">
        <v>0.25</v>
      </c>
      <c r="AX489" s="28">
        <v>0</v>
      </c>
      <c r="BA489" s="28">
        <v>0</v>
      </c>
    </row>
    <row r="490" spans="1:53" s="28" customFormat="1" ht="21" x14ac:dyDescent="0.35">
      <c r="A490" s="1"/>
      <c r="B490" s="2"/>
      <c r="C490" s="2"/>
      <c r="D490" s="2"/>
      <c r="E490" s="2"/>
      <c r="F490" s="2"/>
      <c r="G490" s="2"/>
      <c r="H490" s="2"/>
      <c r="I490" s="40">
        <v>29040</v>
      </c>
      <c r="J490" s="39">
        <v>0.68536060600000004</v>
      </c>
      <c r="K490" s="28">
        <v>0.45</v>
      </c>
      <c r="N490" s="28">
        <v>0.61</v>
      </c>
      <c r="Q490" s="28">
        <v>0.375</v>
      </c>
      <c r="T490" s="28">
        <v>0.36499999999999999</v>
      </c>
      <c r="W490" s="28">
        <v>0</v>
      </c>
      <c r="Z490" s="28">
        <v>0</v>
      </c>
      <c r="AC490" s="28">
        <v>0.53</v>
      </c>
      <c r="AF490" s="28">
        <v>0.31</v>
      </c>
      <c r="AI490" s="28">
        <v>0.27500000000000002</v>
      </c>
      <c r="AL490" s="28">
        <v>0.47499999999999998</v>
      </c>
      <c r="AO490" s="28">
        <v>0.22</v>
      </c>
      <c r="AR490" s="28">
        <v>0.22500000000000001</v>
      </c>
      <c r="AU490" s="28">
        <v>0.24</v>
      </c>
      <c r="AX490" s="28">
        <v>0</v>
      </c>
      <c r="BA490" s="28">
        <v>0</v>
      </c>
    </row>
    <row r="491" spans="1:53" s="28" customFormat="1" ht="21" x14ac:dyDescent="0.35">
      <c r="A491" s="1"/>
      <c r="B491" s="2"/>
      <c r="C491" s="2"/>
      <c r="D491" s="2"/>
      <c r="E491" s="2"/>
      <c r="F491" s="2"/>
      <c r="G491" s="2"/>
      <c r="H491" s="2"/>
      <c r="I491" s="40">
        <v>29100</v>
      </c>
      <c r="J491" s="39">
        <v>0.6807424245</v>
      </c>
      <c r="K491" s="28">
        <v>0.45</v>
      </c>
      <c r="N491" s="28">
        <v>0.60499999999999998</v>
      </c>
      <c r="Q491" s="28">
        <v>0.37</v>
      </c>
      <c r="T491" s="28">
        <v>0.36</v>
      </c>
      <c r="W491" s="28">
        <v>0</v>
      </c>
      <c r="Z491" s="28">
        <v>0</v>
      </c>
      <c r="AC491" s="28">
        <v>0.52</v>
      </c>
      <c r="AF491" s="28">
        <v>0.30499999999999999</v>
      </c>
      <c r="AI491" s="28">
        <v>0.27</v>
      </c>
      <c r="AL491" s="28">
        <v>0.47</v>
      </c>
      <c r="AO491" s="28">
        <v>0.215</v>
      </c>
      <c r="AR491" s="28">
        <v>0.215</v>
      </c>
      <c r="AU491" s="28">
        <v>0.23499999999999999</v>
      </c>
      <c r="AX491" s="28">
        <v>0</v>
      </c>
      <c r="BA491" s="28">
        <v>0</v>
      </c>
    </row>
    <row r="492" spans="1:53" s="28" customFormat="1" ht="21" x14ac:dyDescent="0.35">
      <c r="A492" s="1"/>
      <c r="B492" s="2"/>
      <c r="C492" s="2"/>
      <c r="D492" s="2"/>
      <c r="E492" s="2"/>
      <c r="F492" s="2"/>
      <c r="G492" s="2"/>
      <c r="H492" s="2"/>
      <c r="I492" s="40">
        <v>29160</v>
      </c>
      <c r="J492" s="39">
        <v>0.67533333350000002</v>
      </c>
      <c r="K492" s="28">
        <v>0.45</v>
      </c>
      <c r="N492" s="28">
        <v>0.6</v>
      </c>
      <c r="Q492" s="28">
        <v>0.37</v>
      </c>
      <c r="T492" s="28">
        <v>0.36</v>
      </c>
      <c r="W492" s="28">
        <v>0</v>
      </c>
      <c r="Z492" s="28">
        <v>0</v>
      </c>
      <c r="AC492" s="28">
        <v>0.52</v>
      </c>
      <c r="AF492" s="28">
        <v>0.3</v>
      </c>
      <c r="AI492" s="28">
        <v>0.26500000000000001</v>
      </c>
      <c r="AL492" s="28">
        <v>0.46</v>
      </c>
      <c r="AO492" s="28">
        <v>0.20499999999999999</v>
      </c>
      <c r="AR492" s="28">
        <v>0.21</v>
      </c>
      <c r="AU492" s="28">
        <v>0.22500000000000001</v>
      </c>
      <c r="AX492" s="28">
        <v>0</v>
      </c>
      <c r="BA492" s="28">
        <v>0</v>
      </c>
    </row>
    <row r="493" spans="1:53" s="28" customFormat="1" ht="21" x14ac:dyDescent="0.35">
      <c r="A493" s="1"/>
      <c r="B493" s="2"/>
      <c r="C493" s="2"/>
      <c r="D493" s="2"/>
      <c r="E493" s="2"/>
      <c r="F493" s="2"/>
      <c r="G493" s="2"/>
      <c r="H493" s="2"/>
      <c r="I493" s="40">
        <v>29220</v>
      </c>
      <c r="J493" s="39">
        <v>0.6707454545</v>
      </c>
      <c r="K493" s="28">
        <v>0.44500000000000001</v>
      </c>
      <c r="N493" s="28">
        <v>0.6</v>
      </c>
      <c r="Q493" s="28">
        <v>0.36</v>
      </c>
      <c r="T493" s="28">
        <v>0.35</v>
      </c>
      <c r="W493" s="28">
        <v>0</v>
      </c>
      <c r="Z493" s="28">
        <v>0</v>
      </c>
      <c r="AC493" s="28">
        <v>0.51</v>
      </c>
      <c r="AF493" s="28">
        <v>0.29499999999999998</v>
      </c>
      <c r="AI493" s="28">
        <v>0.26</v>
      </c>
      <c r="AL493" s="28">
        <v>0.45</v>
      </c>
      <c r="AO493" s="28">
        <v>0.2</v>
      </c>
      <c r="AR493" s="28">
        <v>0.2</v>
      </c>
      <c r="AU493" s="28">
        <v>0.215</v>
      </c>
      <c r="AX493" s="28">
        <v>0</v>
      </c>
      <c r="BA493" s="28">
        <v>0</v>
      </c>
    </row>
    <row r="494" spans="1:53" s="28" customFormat="1" ht="21" x14ac:dyDescent="0.35">
      <c r="A494" s="1"/>
      <c r="B494" s="2"/>
      <c r="C494" s="2"/>
      <c r="D494" s="2"/>
      <c r="E494" s="2"/>
      <c r="F494" s="2"/>
      <c r="G494" s="2"/>
      <c r="H494" s="2"/>
      <c r="I494" s="40">
        <v>29280</v>
      </c>
      <c r="J494" s="39">
        <v>0.6658030305</v>
      </c>
      <c r="K494" s="28">
        <v>0.44</v>
      </c>
      <c r="N494" s="28">
        <v>0.59</v>
      </c>
      <c r="Q494" s="28">
        <v>0.36</v>
      </c>
      <c r="T494" s="28">
        <v>0.35</v>
      </c>
      <c r="W494" s="28">
        <v>0</v>
      </c>
      <c r="Z494" s="28">
        <v>0</v>
      </c>
      <c r="AC494" s="28">
        <v>0.51</v>
      </c>
      <c r="AF494" s="28">
        <v>0.28999999999999998</v>
      </c>
      <c r="AI494" s="28">
        <v>0.255</v>
      </c>
      <c r="AL494" s="28">
        <v>0.44500000000000001</v>
      </c>
      <c r="AO494" s="28">
        <v>0.19</v>
      </c>
      <c r="AR494" s="28">
        <v>0.19</v>
      </c>
      <c r="AU494" s="28">
        <v>0.20499999999999999</v>
      </c>
      <c r="AX494" s="28">
        <v>0</v>
      </c>
      <c r="BA494" s="28">
        <v>0</v>
      </c>
    </row>
    <row r="495" spans="1:53" s="28" customFormat="1" ht="21" x14ac:dyDescent="0.35">
      <c r="A495" s="1"/>
      <c r="B495" s="2"/>
      <c r="C495" s="2"/>
      <c r="D495" s="2"/>
      <c r="E495" s="2"/>
      <c r="F495" s="2"/>
      <c r="G495" s="2"/>
      <c r="H495" s="2"/>
      <c r="I495" s="40">
        <v>29340</v>
      </c>
      <c r="J495" s="39">
        <v>0.66029090899999998</v>
      </c>
      <c r="K495" s="28">
        <v>0.44</v>
      </c>
      <c r="N495" s="28">
        <v>0.59</v>
      </c>
      <c r="Q495" s="28">
        <v>0.35499999999999998</v>
      </c>
      <c r="T495" s="28">
        <v>0.34</v>
      </c>
      <c r="W495" s="28">
        <v>0</v>
      </c>
      <c r="Z495" s="28">
        <v>0</v>
      </c>
      <c r="AC495" s="28">
        <v>0.5</v>
      </c>
      <c r="AF495" s="28">
        <v>0.28499999999999998</v>
      </c>
      <c r="AI495" s="28">
        <v>0.25</v>
      </c>
      <c r="AL495" s="28">
        <v>0.435</v>
      </c>
      <c r="AO495" s="28">
        <v>0.18</v>
      </c>
      <c r="AR495" s="28">
        <v>0.185</v>
      </c>
      <c r="AU495" s="28">
        <v>0.19500000000000001</v>
      </c>
      <c r="AX495" s="28">
        <v>0</v>
      </c>
      <c r="BA495" s="28">
        <v>0</v>
      </c>
    </row>
    <row r="496" spans="1:53" s="28" customFormat="1" ht="21" x14ac:dyDescent="0.35">
      <c r="A496" s="1"/>
      <c r="B496" s="2"/>
      <c r="C496" s="2"/>
      <c r="D496" s="2"/>
      <c r="E496" s="2"/>
      <c r="F496" s="2"/>
      <c r="G496" s="2"/>
      <c r="H496" s="2"/>
      <c r="I496" s="40">
        <v>29400</v>
      </c>
      <c r="J496" s="39">
        <v>0.65486060599999996</v>
      </c>
      <c r="K496" s="28">
        <v>0.44</v>
      </c>
      <c r="N496" s="28">
        <v>0.57999999999999996</v>
      </c>
      <c r="Q496" s="28">
        <v>0.35</v>
      </c>
      <c r="T496" s="28">
        <v>0.34</v>
      </c>
      <c r="W496" s="28">
        <v>0</v>
      </c>
      <c r="Z496" s="28">
        <v>0</v>
      </c>
      <c r="AC496" s="28">
        <v>0.5</v>
      </c>
      <c r="AF496" s="28">
        <v>0.28000000000000003</v>
      </c>
      <c r="AI496" s="28">
        <v>0.245</v>
      </c>
      <c r="AL496" s="28">
        <v>0.42499999999999999</v>
      </c>
      <c r="AO496" s="28">
        <v>0.17499999999999999</v>
      </c>
      <c r="AR496" s="28">
        <v>0.17499999999999999</v>
      </c>
      <c r="AU496" s="28">
        <v>0.19</v>
      </c>
      <c r="AX496" s="28">
        <v>0</v>
      </c>
      <c r="BA496" s="28">
        <v>0</v>
      </c>
    </row>
    <row r="497" spans="1:53" s="28" customFormat="1" ht="21" x14ac:dyDescent="0.35">
      <c r="A497" s="1"/>
      <c r="B497" s="2"/>
      <c r="C497" s="2"/>
      <c r="D497" s="2"/>
      <c r="E497" s="2"/>
      <c r="F497" s="2"/>
      <c r="G497" s="2"/>
      <c r="H497" s="2"/>
      <c r="I497" s="40">
        <v>29460</v>
      </c>
      <c r="J497" s="39">
        <v>0.64996666700000005</v>
      </c>
      <c r="K497" s="28">
        <v>0.44</v>
      </c>
      <c r="N497" s="28">
        <v>0.57999999999999996</v>
      </c>
      <c r="Q497" s="28">
        <v>0.34499999999999997</v>
      </c>
      <c r="T497" s="28">
        <v>0.33500000000000002</v>
      </c>
      <c r="W497" s="28">
        <v>0</v>
      </c>
      <c r="Z497" s="28">
        <v>0</v>
      </c>
      <c r="AC497" s="28">
        <v>0.49</v>
      </c>
      <c r="AF497" s="28">
        <v>0.27500000000000002</v>
      </c>
      <c r="AI497" s="28">
        <v>0.24</v>
      </c>
      <c r="AL497" s="28">
        <v>0.42</v>
      </c>
      <c r="AO497" s="28">
        <v>0.16500000000000001</v>
      </c>
      <c r="AR497" s="28">
        <v>0.16500000000000001</v>
      </c>
      <c r="AU497" s="28">
        <v>0.18</v>
      </c>
      <c r="AX497" s="28">
        <v>0</v>
      </c>
      <c r="BA497" s="28">
        <v>0</v>
      </c>
    </row>
    <row r="498" spans="1:53" s="28" customFormat="1" ht="21" x14ac:dyDescent="0.35">
      <c r="A498" s="1"/>
      <c r="B498" s="2"/>
      <c r="C498" s="2"/>
      <c r="D498" s="2"/>
      <c r="E498" s="2"/>
      <c r="F498" s="2"/>
      <c r="G498" s="2"/>
      <c r="H498" s="2"/>
      <c r="I498" s="40">
        <v>29520</v>
      </c>
      <c r="J498" s="39">
        <v>0.64449696950000002</v>
      </c>
      <c r="K498" s="28">
        <v>0.44</v>
      </c>
      <c r="N498" s="28">
        <v>0.57499999999999996</v>
      </c>
      <c r="Q498" s="28">
        <v>0.34</v>
      </c>
      <c r="T498" s="28">
        <v>0.33</v>
      </c>
      <c r="W498" s="28">
        <v>0</v>
      </c>
      <c r="Z498" s="28">
        <v>0</v>
      </c>
      <c r="AC498" s="28">
        <v>0.48499999999999999</v>
      </c>
      <c r="AF498" s="28">
        <v>0.27</v>
      </c>
      <c r="AI498" s="28">
        <v>0.23</v>
      </c>
      <c r="AL498" s="28">
        <v>0.41</v>
      </c>
      <c r="AO498" s="28">
        <v>0.155</v>
      </c>
      <c r="AR498" s="28">
        <v>0.155</v>
      </c>
      <c r="AU498" s="28">
        <v>0.17</v>
      </c>
      <c r="AX498" s="28">
        <v>0</v>
      </c>
      <c r="BA498" s="28">
        <v>0</v>
      </c>
    </row>
    <row r="499" spans="1:53" s="28" customFormat="1" ht="21" x14ac:dyDescent="0.35">
      <c r="A499" s="1"/>
      <c r="B499" s="2"/>
      <c r="C499" s="2"/>
      <c r="D499" s="2"/>
      <c r="E499" s="2"/>
      <c r="F499" s="2"/>
      <c r="G499" s="2"/>
      <c r="H499" s="2"/>
      <c r="I499" s="40">
        <v>29580</v>
      </c>
      <c r="J499" s="39">
        <v>0.63971818150000004</v>
      </c>
      <c r="K499" s="28">
        <v>0.43</v>
      </c>
      <c r="N499" s="28">
        <v>0.56999999999999995</v>
      </c>
      <c r="Q499" s="28">
        <v>0.33500000000000002</v>
      </c>
      <c r="T499" s="28">
        <v>0.32500000000000001</v>
      </c>
      <c r="W499" s="28">
        <v>5.0000000000000001E-3</v>
      </c>
      <c r="Z499" s="28">
        <v>0.01</v>
      </c>
      <c r="AC499" s="28">
        <v>0.48</v>
      </c>
      <c r="AF499" s="28">
        <v>0.26</v>
      </c>
      <c r="AI499" s="28">
        <v>0.23</v>
      </c>
      <c r="AL499" s="28">
        <v>0.4</v>
      </c>
      <c r="AO499" s="28">
        <v>0.15</v>
      </c>
      <c r="AR499" s="28">
        <v>0.14499999999999999</v>
      </c>
      <c r="AU499" s="28">
        <v>0.16</v>
      </c>
      <c r="AX499" s="28">
        <v>0</v>
      </c>
      <c r="BA499" s="28">
        <v>5.0000000000000001E-3</v>
      </c>
    </row>
    <row r="500" spans="1:53" s="28" customFormat="1" ht="21" x14ac:dyDescent="0.35">
      <c r="A500" s="1"/>
      <c r="B500" s="2"/>
      <c r="C500" s="2"/>
      <c r="D500" s="2"/>
      <c r="E500" s="2"/>
      <c r="F500" s="2"/>
      <c r="G500" s="2"/>
      <c r="H500" s="2"/>
      <c r="I500" s="40">
        <v>29640</v>
      </c>
      <c r="J500" s="39">
        <v>0.63551818199999999</v>
      </c>
      <c r="K500" s="28">
        <v>0.43</v>
      </c>
      <c r="N500" s="28">
        <v>0.56499999999999995</v>
      </c>
      <c r="Q500" s="28">
        <v>0.33</v>
      </c>
      <c r="T500" s="28">
        <v>0.32</v>
      </c>
      <c r="W500" s="28">
        <v>0.01</v>
      </c>
      <c r="Z500" s="28">
        <v>0.01</v>
      </c>
      <c r="AC500" s="28">
        <v>0.47499999999999998</v>
      </c>
      <c r="AF500" s="28">
        <v>0.26</v>
      </c>
      <c r="AI500" s="28">
        <v>0.22</v>
      </c>
      <c r="AL500" s="28">
        <v>0.39</v>
      </c>
      <c r="AO500" s="28">
        <v>0.14000000000000001</v>
      </c>
      <c r="AR500" s="28">
        <v>0.14000000000000001</v>
      </c>
      <c r="AU500" s="28">
        <v>0.15</v>
      </c>
      <c r="AX500" s="28">
        <v>0</v>
      </c>
      <c r="BA500" s="28">
        <v>0.01</v>
      </c>
    </row>
    <row r="501" spans="1:53" s="28" customFormat="1" ht="21" x14ac:dyDescent="0.35">
      <c r="A501" s="1"/>
      <c r="B501" s="2"/>
      <c r="C501" s="2"/>
      <c r="D501" s="2"/>
      <c r="E501" s="2"/>
      <c r="F501" s="2"/>
      <c r="G501" s="2"/>
      <c r="H501" s="2"/>
      <c r="I501" s="40">
        <v>29700</v>
      </c>
      <c r="J501" s="39">
        <v>0.63158181800000002</v>
      </c>
      <c r="K501" s="28">
        <v>0.43</v>
      </c>
      <c r="N501" s="28">
        <v>0.56000000000000005</v>
      </c>
      <c r="Q501" s="28">
        <v>0.33</v>
      </c>
      <c r="T501" s="28">
        <v>0.32</v>
      </c>
      <c r="W501" s="28">
        <v>0.01</v>
      </c>
      <c r="Z501" s="28">
        <v>0.01</v>
      </c>
      <c r="AC501" s="28">
        <v>0.47</v>
      </c>
      <c r="AF501" s="28">
        <v>0.25</v>
      </c>
      <c r="AI501" s="28">
        <v>0.215</v>
      </c>
      <c r="AL501" s="28">
        <v>0.38</v>
      </c>
      <c r="AO501" s="28">
        <v>0.13</v>
      </c>
      <c r="AR501" s="28">
        <v>0.13</v>
      </c>
      <c r="AU501" s="28">
        <v>0.14000000000000001</v>
      </c>
      <c r="AX501" s="28">
        <v>0</v>
      </c>
      <c r="BA501" s="28">
        <v>0.01</v>
      </c>
    </row>
    <row r="502" spans="1:53" s="28" customFormat="1" ht="21" x14ac:dyDescent="0.35">
      <c r="A502" s="1"/>
      <c r="B502" s="2"/>
      <c r="C502" s="2"/>
      <c r="D502" s="2"/>
      <c r="E502" s="2"/>
      <c r="F502" s="2"/>
      <c r="G502" s="2"/>
      <c r="H502" s="2"/>
      <c r="I502" s="40">
        <v>29760</v>
      </c>
      <c r="J502" s="39">
        <v>0.62576666700000005</v>
      </c>
      <c r="K502" s="28">
        <v>0.43</v>
      </c>
      <c r="N502" s="28">
        <v>0.56000000000000005</v>
      </c>
      <c r="Q502" s="28">
        <v>0.32</v>
      </c>
      <c r="T502" s="28">
        <v>0.31</v>
      </c>
      <c r="W502" s="28">
        <v>0.01</v>
      </c>
      <c r="Z502" s="28">
        <v>0.01</v>
      </c>
      <c r="AC502" s="28">
        <v>0.46</v>
      </c>
      <c r="AF502" s="28">
        <v>0.245</v>
      </c>
      <c r="AI502" s="28">
        <v>0.21</v>
      </c>
      <c r="AL502" s="28">
        <v>0.37</v>
      </c>
      <c r="AO502" s="28">
        <v>0.12</v>
      </c>
      <c r="AR502" s="28">
        <v>0.12</v>
      </c>
      <c r="AU502" s="28">
        <v>0.13500000000000001</v>
      </c>
      <c r="AX502" s="28">
        <v>0</v>
      </c>
      <c r="BA502" s="28">
        <v>0.01</v>
      </c>
    </row>
    <row r="503" spans="1:53" s="28" customFormat="1" ht="21" x14ac:dyDescent="0.35">
      <c r="A503" s="1"/>
      <c r="B503" s="2"/>
      <c r="C503" s="2"/>
      <c r="D503" s="2"/>
      <c r="E503" s="2"/>
      <c r="F503" s="2"/>
      <c r="G503" s="2"/>
      <c r="H503" s="2"/>
      <c r="I503" s="40">
        <v>29820</v>
      </c>
      <c r="J503" s="39">
        <v>0.61995454549999995</v>
      </c>
      <c r="K503" s="28">
        <v>0.43</v>
      </c>
      <c r="N503" s="28">
        <v>0.55000000000000004</v>
      </c>
      <c r="Q503" s="28">
        <v>0.32</v>
      </c>
      <c r="T503" s="28">
        <v>0.31</v>
      </c>
      <c r="W503" s="28">
        <v>0.01</v>
      </c>
      <c r="Z503" s="28">
        <v>0.01</v>
      </c>
      <c r="AC503" s="28">
        <v>0.46</v>
      </c>
      <c r="AF503" s="28">
        <v>0.24</v>
      </c>
      <c r="AI503" s="28">
        <v>0.20499999999999999</v>
      </c>
      <c r="AL503" s="28">
        <v>0.36499999999999999</v>
      </c>
      <c r="AO503" s="28">
        <v>0.115</v>
      </c>
      <c r="AR503" s="28">
        <v>0.11</v>
      </c>
      <c r="AU503" s="28">
        <v>0.125</v>
      </c>
      <c r="AX503" s="28">
        <v>0</v>
      </c>
      <c r="BA503" s="28">
        <v>0.01</v>
      </c>
    </row>
    <row r="504" spans="1:53" s="28" customFormat="1" ht="21" x14ac:dyDescent="0.35">
      <c r="A504" s="1"/>
      <c r="B504" s="2"/>
      <c r="C504" s="2"/>
      <c r="D504" s="2"/>
      <c r="E504" s="2"/>
      <c r="F504" s="2"/>
      <c r="G504" s="2"/>
      <c r="H504" s="2"/>
      <c r="I504" s="40">
        <v>29880</v>
      </c>
      <c r="J504" s="39">
        <v>0.61470606049999998</v>
      </c>
      <c r="K504" s="28">
        <v>0.42499999999999999</v>
      </c>
      <c r="N504" s="28">
        <v>0.55000000000000004</v>
      </c>
      <c r="Q504" s="28">
        <v>0.31</v>
      </c>
      <c r="T504" s="28">
        <v>0.3</v>
      </c>
      <c r="W504" s="28">
        <v>0.01</v>
      </c>
      <c r="Z504" s="28">
        <v>0.01</v>
      </c>
      <c r="AC504" s="28">
        <v>0.45</v>
      </c>
      <c r="AF504" s="28">
        <v>0.23499999999999999</v>
      </c>
      <c r="AI504" s="28">
        <v>0.2</v>
      </c>
      <c r="AL504" s="28">
        <v>0.35499999999999998</v>
      </c>
      <c r="AO504" s="28">
        <v>0.105</v>
      </c>
      <c r="AR504" s="28">
        <v>0.1</v>
      </c>
      <c r="AU504" s="28">
        <v>0.12</v>
      </c>
      <c r="AX504" s="28">
        <v>0</v>
      </c>
      <c r="BA504" s="28">
        <v>0.01</v>
      </c>
    </row>
    <row r="505" spans="1:53" s="28" customFormat="1" ht="21" x14ac:dyDescent="0.35">
      <c r="A505" s="1"/>
      <c r="B505" s="2"/>
      <c r="C505" s="2"/>
      <c r="D505" s="2"/>
      <c r="E505" s="2"/>
      <c r="F505" s="2"/>
      <c r="G505" s="2"/>
      <c r="H505" s="2"/>
      <c r="I505" s="40">
        <v>29940</v>
      </c>
      <c r="J505" s="39">
        <v>0.60969697</v>
      </c>
      <c r="K505" s="28">
        <v>0.42</v>
      </c>
      <c r="N505" s="28">
        <v>0.54500000000000004</v>
      </c>
      <c r="Q505" s="28">
        <v>0.31</v>
      </c>
      <c r="T505" s="28">
        <v>0.3</v>
      </c>
      <c r="W505" s="28">
        <v>0.01</v>
      </c>
      <c r="Z505" s="28">
        <v>0.01</v>
      </c>
      <c r="AC505" s="28">
        <v>0.44500000000000001</v>
      </c>
      <c r="AF505" s="28">
        <v>0.23</v>
      </c>
      <c r="AI505" s="28">
        <v>0.19</v>
      </c>
      <c r="AL505" s="28">
        <v>0.34499999999999997</v>
      </c>
      <c r="AO505" s="28">
        <v>9.5000000000000001E-2</v>
      </c>
      <c r="AR505" s="28">
        <v>9.5000000000000001E-2</v>
      </c>
      <c r="AU505" s="28">
        <v>0.11</v>
      </c>
      <c r="AX505" s="28">
        <v>0</v>
      </c>
      <c r="BA505" s="28">
        <v>0.01</v>
      </c>
    </row>
    <row r="506" spans="1:53" s="28" customFormat="1" ht="21" x14ac:dyDescent="0.35">
      <c r="A506" s="1"/>
      <c r="B506" s="2"/>
      <c r="C506" s="2"/>
      <c r="D506" s="2"/>
      <c r="E506" s="2"/>
      <c r="F506" s="2"/>
      <c r="G506" s="2"/>
      <c r="H506" s="2"/>
      <c r="I506" s="40">
        <v>30000</v>
      </c>
      <c r="J506" s="39">
        <v>0.60397575749999999</v>
      </c>
      <c r="K506" s="28">
        <v>0.42</v>
      </c>
      <c r="N506" s="28">
        <v>0.54</v>
      </c>
      <c r="Q506" s="28">
        <v>0.3</v>
      </c>
      <c r="T506" s="28">
        <v>0.29499999999999998</v>
      </c>
      <c r="W506" s="28">
        <v>0.01</v>
      </c>
      <c r="Z506" s="28">
        <v>0.01</v>
      </c>
      <c r="AC506" s="28">
        <v>0.44</v>
      </c>
      <c r="AF506" s="28">
        <v>0.22</v>
      </c>
      <c r="AI506" s="28">
        <v>0.19</v>
      </c>
      <c r="AL506" s="28">
        <v>0.33500000000000002</v>
      </c>
      <c r="AO506" s="28">
        <v>0.09</v>
      </c>
      <c r="AR506" s="28">
        <v>8.5000000000000006E-2</v>
      </c>
      <c r="AU506" s="28">
        <v>0.1</v>
      </c>
      <c r="AX506" s="28">
        <v>0</v>
      </c>
      <c r="BA506" s="28">
        <v>0.01</v>
      </c>
    </row>
    <row r="507" spans="1:53" s="28" customFormat="1" ht="21" x14ac:dyDescent="0.35">
      <c r="A507" s="1"/>
      <c r="B507" s="2"/>
      <c r="C507" s="2"/>
      <c r="D507" s="2"/>
      <c r="E507" s="2"/>
      <c r="F507" s="2"/>
      <c r="G507" s="2"/>
      <c r="H507" s="2"/>
      <c r="I507" s="40">
        <v>30060</v>
      </c>
      <c r="J507" s="39">
        <v>0.59836363650000002</v>
      </c>
      <c r="K507" s="28">
        <v>0.42</v>
      </c>
      <c r="N507" s="28">
        <v>0.53500000000000003</v>
      </c>
      <c r="Q507" s="28">
        <v>0.3</v>
      </c>
      <c r="T507" s="28">
        <v>0.28999999999999998</v>
      </c>
      <c r="W507" s="28">
        <v>0.01</v>
      </c>
      <c r="Z507" s="28">
        <v>0.01</v>
      </c>
      <c r="AC507" s="28">
        <v>0.43</v>
      </c>
      <c r="AF507" s="28">
        <v>0.215</v>
      </c>
      <c r="AI507" s="28">
        <v>0.18</v>
      </c>
      <c r="AL507" s="28">
        <v>0.32500000000000001</v>
      </c>
      <c r="AO507" s="28">
        <v>0.08</v>
      </c>
      <c r="AR507" s="28">
        <v>7.4999999999999997E-2</v>
      </c>
      <c r="AU507" s="28">
        <v>0.09</v>
      </c>
      <c r="AX507" s="28">
        <v>0</v>
      </c>
      <c r="BA507" s="28">
        <v>0.01</v>
      </c>
    </row>
    <row r="508" spans="1:53" s="28" customFormat="1" ht="21" x14ac:dyDescent="0.35">
      <c r="A508" s="1"/>
      <c r="B508" s="2"/>
      <c r="C508" s="2"/>
      <c r="D508" s="2"/>
      <c r="E508" s="2"/>
      <c r="F508" s="2"/>
      <c r="G508" s="2"/>
      <c r="H508" s="2"/>
      <c r="I508" s="40">
        <v>30120</v>
      </c>
      <c r="J508" s="39">
        <v>0.59190303</v>
      </c>
      <c r="K508" s="28">
        <v>0.42</v>
      </c>
      <c r="N508" s="28">
        <v>0.53</v>
      </c>
      <c r="Q508" s="28">
        <v>0.28999999999999998</v>
      </c>
      <c r="T508" s="28">
        <v>0.28499999999999998</v>
      </c>
      <c r="W508" s="28">
        <v>0.01</v>
      </c>
      <c r="Z508" s="28">
        <v>0.01</v>
      </c>
      <c r="AC508" s="28">
        <v>0.42499999999999999</v>
      </c>
      <c r="AF508" s="28">
        <v>0.21</v>
      </c>
      <c r="AI508" s="28">
        <v>0.17499999999999999</v>
      </c>
      <c r="AL508" s="28">
        <v>0.32</v>
      </c>
      <c r="AO508" s="28">
        <v>7.0000000000000007E-2</v>
      </c>
      <c r="AR508" s="28">
        <v>7.0000000000000007E-2</v>
      </c>
      <c r="AU508" s="28">
        <v>8.5000000000000006E-2</v>
      </c>
      <c r="AX508" s="28">
        <v>0</v>
      </c>
      <c r="BA508" s="28">
        <v>0.01</v>
      </c>
    </row>
    <row r="509" spans="1:53" s="28" customFormat="1" ht="21" x14ac:dyDescent="0.35">
      <c r="A509" s="1"/>
      <c r="B509" s="2"/>
      <c r="C509" s="2"/>
      <c r="D509" s="2"/>
      <c r="E509" s="2"/>
      <c r="F509" s="2"/>
      <c r="G509" s="2"/>
      <c r="H509" s="2"/>
      <c r="I509" s="40">
        <v>30180</v>
      </c>
      <c r="J509" s="39">
        <v>0.58684848499999998</v>
      </c>
      <c r="K509" s="28">
        <v>0.42</v>
      </c>
      <c r="N509" s="28">
        <v>0.53</v>
      </c>
      <c r="Q509" s="28">
        <v>0.28999999999999998</v>
      </c>
      <c r="T509" s="28">
        <v>0.28000000000000003</v>
      </c>
      <c r="W509" s="28">
        <v>0.01</v>
      </c>
      <c r="Z509" s="28">
        <v>0.01</v>
      </c>
      <c r="AC509" s="28">
        <v>0.42</v>
      </c>
      <c r="AF509" s="28">
        <v>0.2</v>
      </c>
      <c r="AI509" s="28">
        <v>0.17</v>
      </c>
      <c r="AL509" s="28">
        <v>0.31</v>
      </c>
      <c r="AO509" s="28">
        <v>0.06</v>
      </c>
      <c r="AR509" s="28">
        <v>0.06</v>
      </c>
      <c r="AU509" s="28">
        <v>7.4999999999999997E-2</v>
      </c>
      <c r="AX509" s="28">
        <v>0</v>
      </c>
      <c r="BA509" s="28">
        <v>0.01</v>
      </c>
    </row>
    <row r="510" spans="1:53" s="28" customFormat="1" ht="21" x14ac:dyDescent="0.35">
      <c r="A510" s="1"/>
      <c r="B510" s="2"/>
      <c r="C510" s="2"/>
      <c r="D510" s="2"/>
      <c r="E510" s="2"/>
      <c r="F510" s="2"/>
      <c r="G510" s="2"/>
      <c r="H510" s="2"/>
      <c r="I510" s="40">
        <v>30240</v>
      </c>
      <c r="J510" s="39">
        <v>0.58386363649999995</v>
      </c>
      <c r="K510" s="28">
        <v>0.42</v>
      </c>
      <c r="N510" s="28">
        <v>0.53</v>
      </c>
      <c r="Q510" s="28">
        <v>0.28999999999999998</v>
      </c>
      <c r="T510" s="28">
        <v>0.28000000000000003</v>
      </c>
      <c r="W510" s="28">
        <v>0.01</v>
      </c>
      <c r="Z510" s="28">
        <v>0.01</v>
      </c>
      <c r="AC510" s="28">
        <v>0.42</v>
      </c>
      <c r="AF510" s="28">
        <v>0.2</v>
      </c>
      <c r="AI510" s="28">
        <v>0.16</v>
      </c>
      <c r="AL510" s="28">
        <v>0.3</v>
      </c>
      <c r="AO510" s="28">
        <v>5.5E-2</v>
      </c>
      <c r="AR510" s="28">
        <v>0.05</v>
      </c>
      <c r="AU510" s="28">
        <v>7.0000000000000007E-2</v>
      </c>
      <c r="AX510" s="28">
        <v>5.0000000000000001E-3</v>
      </c>
      <c r="BA510" s="28">
        <v>0.01</v>
      </c>
    </row>
    <row r="511" spans="1:53" s="28" customFormat="1" ht="21" x14ac:dyDescent="0.35">
      <c r="A511" s="1"/>
      <c r="B511" s="2"/>
      <c r="C511" s="2"/>
      <c r="D511" s="2"/>
      <c r="E511" s="2"/>
      <c r="F511" s="2"/>
      <c r="G511" s="2"/>
      <c r="H511" s="2"/>
      <c r="I511" s="40">
        <v>30300</v>
      </c>
      <c r="J511" s="39">
        <v>0.62409090899999997</v>
      </c>
      <c r="K511" s="28">
        <v>0.42</v>
      </c>
      <c r="N511" s="28">
        <v>0.54500000000000004</v>
      </c>
      <c r="Q511" s="28">
        <v>0.29499999999999998</v>
      </c>
      <c r="T511" s="28">
        <v>0.29499999999999998</v>
      </c>
      <c r="W511" s="28">
        <v>0.01</v>
      </c>
      <c r="Z511" s="28">
        <v>0.01</v>
      </c>
      <c r="AC511" s="28">
        <v>0.42499999999999999</v>
      </c>
      <c r="AF511" s="28">
        <v>0.20499999999999999</v>
      </c>
      <c r="AI511" s="28">
        <v>0.17</v>
      </c>
      <c r="AL511" s="28">
        <v>0.3</v>
      </c>
      <c r="AO511" s="28">
        <v>0.05</v>
      </c>
      <c r="AR511" s="28">
        <v>0.05</v>
      </c>
      <c r="AU511" s="28">
        <v>0.06</v>
      </c>
      <c r="AX511" s="28">
        <v>0.01</v>
      </c>
      <c r="BA511" s="28">
        <v>0.01</v>
      </c>
    </row>
    <row r="512" spans="1:53" s="28" customFormat="1" ht="21" x14ac:dyDescent="0.35">
      <c r="A512" s="1"/>
      <c r="B512" s="2"/>
      <c r="C512" s="2"/>
      <c r="D512" s="2"/>
      <c r="E512" s="2"/>
      <c r="F512" s="2"/>
      <c r="G512" s="2"/>
      <c r="H512" s="2"/>
      <c r="I512" s="40">
        <v>30360</v>
      </c>
      <c r="J512" s="39">
        <v>0.70391515149999995</v>
      </c>
      <c r="K512" s="28">
        <v>0.43</v>
      </c>
      <c r="N512" s="28">
        <v>0.55500000000000005</v>
      </c>
      <c r="Q512" s="28">
        <v>0.315</v>
      </c>
      <c r="T512" s="28">
        <v>0.30499999999999999</v>
      </c>
      <c r="W512" s="28">
        <v>0.01</v>
      </c>
      <c r="Z512" s="28">
        <v>0.01</v>
      </c>
      <c r="AC512" s="28">
        <v>0.44500000000000001</v>
      </c>
      <c r="AF512" s="28">
        <v>0.215</v>
      </c>
      <c r="AI512" s="28">
        <v>0.185</v>
      </c>
      <c r="AL512" s="28">
        <v>0.315</v>
      </c>
      <c r="AO512" s="28">
        <v>0.06</v>
      </c>
      <c r="AR512" s="28">
        <v>0.06</v>
      </c>
      <c r="AU512" s="28">
        <v>6.5000000000000002E-2</v>
      </c>
      <c r="AX512" s="28">
        <v>0.01</v>
      </c>
      <c r="BA512" s="28">
        <v>0.01</v>
      </c>
    </row>
    <row r="513" spans="1:53" s="28" customFormat="1" ht="21" x14ac:dyDescent="0.35">
      <c r="A513" s="1"/>
      <c r="B513" s="2"/>
      <c r="C513" s="2"/>
      <c r="D513" s="2"/>
      <c r="E513" s="2"/>
      <c r="F513" s="2"/>
      <c r="G513" s="2"/>
      <c r="H513" s="2"/>
      <c r="I513" s="40">
        <v>30420</v>
      </c>
      <c r="J513" s="39">
        <v>0.78056969700000001</v>
      </c>
      <c r="K513" s="28">
        <v>0.44</v>
      </c>
      <c r="N513" s="28">
        <v>0.57499999999999996</v>
      </c>
      <c r="Q513" s="28">
        <v>0.33500000000000002</v>
      </c>
      <c r="T513" s="28">
        <v>0.32500000000000001</v>
      </c>
      <c r="W513" s="28">
        <v>0.01</v>
      </c>
      <c r="Z513" s="28">
        <v>0.01</v>
      </c>
      <c r="AC513" s="28">
        <v>0.46500000000000002</v>
      </c>
      <c r="AF513" s="28">
        <v>0.23499999999999999</v>
      </c>
      <c r="AI513" s="28">
        <v>0.20499999999999999</v>
      </c>
      <c r="AL513" s="28">
        <v>0.33500000000000002</v>
      </c>
      <c r="AO513" s="28">
        <v>7.4999999999999997E-2</v>
      </c>
      <c r="AR513" s="28">
        <v>7.4999999999999997E-2</v>
      </c>
      <c r="AU513" s="28">
        <v>7.4999999999999997E-2</v>
      </c>
      <c r="AX513" s="28">
        <v>0.01</v>
      </c>
      <c r="BA513" s="28">
        <v>0.01</v>
      </c>
    </row>
    <row r="514" spans="1:53" s="28" customFormat="1" ht="21" x14ac:dyDescent="0.35">
      <c r="A514" s="1"/>
      <c r="B514" s="2"/>
      <c r="C514" s="2"/>
      <c r="D514" s="2"/>
      <c r="E514" s="2"/>
      <c r="F514" s="2"/>
      <c r="G514" s="2"/>
      <c r="H514" s="2"/>
      <c r="I514" s="40">
        <v>30480</v>
      </c>
      <c r="J514" s="39">
        <v>0.80098484849999996</v>
      </c>
      <c r="K514" s="28">
        <v>0.44500000000000001</v>
      </c>
      <c r="N514" s="28">
        <v>0.59499999999999997</v>
      </c>
      <c r="Q514" s="28">
        <v>0.35</v>
      </c>
      <c r="T514" s="28">
        <v>0.34499999999999997</v>
      </c>
      <c r="W514" s="28">
        <v>0.01</v>
      </c>
      <c r="Z514" s="28">
        <v>0.01</v>
      </c>
      <c r="AC514" s="28">
        <v>0.49</v>
      </c>
      <c r="AF514" s="28">
        <v>0.26</v>
      </c>
      <c r="AI514" s="28">
        <v>0.22500000000000001</v>
      </c>
      <c r="AL514" s="28">
        <v>0.35499999999999998</v>
      </c>
      <c r="AO514" s="28">
        <v>8.5000000000000006E-2</v>
      </c>
      <c r="AR514" s="28">
        <v>9.5000000000000001E-2</v>
      </c>
      <c r="AU514" s="28">
        <v>0.09</v>
      </c>
      <c r="AX514" s="28">
        <v>5.0000000000000001E-3</v>
      </c>
      <c r="BA514" s="28">
        <v>0.01</v>
      </c>
    </row>
    <row r="515" spans="1:53" s="28" customFormat="1" ht="21" x14ac:dyDescent="0.35">
      <c r="A515" s="1"/>
      <c r="B515" s="2"/>
      <c r="C515" s="2"/>
      <c r="D515" s="2"/>
      <c r="E515" s="2"/>
      <c r="F515" s="2"/>
      <c r="G515" s="2"/>
      <c r="H515" s="2"/>
      <c r="I515" s="40">
        <v>30540</v>
      </c>
      <c r="J515" s="39">
        <v>0.797872727</v>
      </c>
      <c r="K515" s="28">
        <v>0.45</v>
      </c>
      <c r="N515" s="28">
        <v>0.61</v>
      </c>
      <c r="Q515" s="28">
        <v>0.36499999999999999</v>
      </c>
      <c r="T515" s="28">
        <v>0.36</v>
      </c>
      <c r="W515" s="28">
        <v>0.01</v>
      </c>
      <c r="Z515" s="28">
        <v>0.01</v>
      </c>
      <c r="AC515" s="28">
        <v>0.51</v>
      </c>
      <c r="AF515" s="28">
        <v>0.28499999999999998</v>
      </c>
      <c r="AI515" s="28">
        <v>0.245</v>
      </c>
      <c r="AL515" s="28">
        <v>0.375</v>
      </c>
      <c r="AO515" s="28">
        <v>0.105</v>
      </c>
      <c r="AR515" s="28">
        <v>0.115</v>
      </c>
      <c r="AU515" s="28">
        <v>0.105</v>
      </c>
      <c r="AX515" s="28">
        <v>0</v>
      </c>
      <c r="BA515" s="28">
        <v>0.01</v>
      </c>
    </row>
    <row r="516" spans="1:53" s="28" customFormat="1" ht="21" x14ac:dyDescent="0.35">
      <c r="A516" s="1"/>
      <c r="B516" s="2"/>
      <c r="C516" s="2"/>
      <c r="D516" s="2"/>
      <c r="E516" s="2"/>
      <c r="F516" s="2"/>
      <c r="G516" s="2"/>
      <c r="H516" s="2"/>
      <c r="I516" s="40">
        <v>30600</v>
      </c>
      <c r="J516" s="39">
        <v>0.79104242449999995</v>
      </c>
      <c r="K516" s="28">
        <v>0.45</v>
      </c>
      <c r="N516" s="28">
        <v>0.61</v>
      </c>
      <c r="Q516" s="28">
        <v>0.37</v>
      </c>
      <c r="T516" s="28">
        <v>0.37</v>
      </c>
      <c r="W516" s="28">
        <v>0.01</v>
      </c>
      <c r="Z516" s="28">
        <v>0.01</v>
      </c>
      <c r="AC516" s="28">
        <v>0.52</v>
      </c>
      <c r="AF516" s="28">
        <v>0.29499999999999998</v>
      </c>
      <c r="AI516" s="28">
        <v>0.26</v>
      </c>
      <c r="AL516" s="28">
        <v>0.39</v>
      </c>
      <c r="AO516" s="28">
        <v>0.125</v>
      </c>
      <c r="AR516" s="28">
        <v>0.13500000000000001</v>
      </c>
      <c r="AU516" s="28">
        <v>0.125</v>
      </c>
      <c r="AX516" s="28">
        <v>0</v>
      </c>
      <c r="BA516" s="28">
        <v>0.01</v>
      </c>
    </row>
    <row r="517" spans="1:53" s="28" customFormat="1" ht="21" x14ac:dyDescent="0.35">
      <c r="A517" s="1"/>
      <c r="B517" s="2"/>
      <c r="C517" s="2"/>
      <c r="D517" s="2"/>
      <c r="E517" s="2"/>
      <c r="F517" s="2"/>
      <c r="G517" s="2"/>
      <c r="H517" s="2"/>
      <c r="I517" s="40">
        <v>30660</v>
      </c>
      <c r="J517" s="39">
        <v>0.78016363600000005</v>
      </c>
      <c r="K517" s="28">
        <v>0.45</v>
      </c>
      <c r="N517" s="28">
        <v>0.60499999999999998</v>
      </c>
      <c r="Q517" s="28">
        <v>0.37</v>
      </c>
      <c r="T517" s="28">
        <v>0.36</v>
      </c>
      <c r="W517" s="28">
        <v>0.01</v>
      </c>
      <c r="Z517" s="28">
        <v>0.01</v>
      </c>
      <c r="AC517" s="28">
        <v>0.52</v>
      </c>
      <c r="AF517" s="28">
        <v>0.3</v>
      </c>
      <c r="AI517" s="28">
        <v>0.27</v>
      </c>
      <c r="AL517" s="28">
        <v>0.39500000000000002</v>
      </c>
      <c r="AO517" s="28">
        <v>0.14000000000000001</v>
      </c>
      <c r="AR517" s="28">
        <v>0.15</v>
      </c>
      <c r="AU517" s="28">
        <v>0.14499999999999999</v>
      </c>
      <c r="AX517" s="28">
        <v>0</v>
      </c>
      <c r="BA517" s="28">
        <v>0.01</v>
      </c>
    </row>
    <row r="518" spans="1:53" s="28" customFormat="1" ht="21" x14ac:dyDescent="0.35">
      <c r="A518" s="1"/>
      <c r="B518" s="2"/>
      <c r="C518" s="2"/>
      <c r="D518" s="2"/>
      <c r="E518" s="2"/>
      <c r="F518" s="2"/>
      <c r="G518" s="2"/>
      <c r="H518" s="2"/>
      <c r="I518" s="40">
        <v>30720</v>
      </c>
      <c r="J518" s="39">
        <v>0.76937575800000002</v>
      </c>
      <c r="K518" s="28">
        <v>0.44</v>
      </c>
      <c r="N518" s="28">
        <v>0.6</v>
      </c>
      <c r="Q518" s="28">
        <v>0.37</v>
      </c>
      <c r="T518" s="28">
        <v>0.36</v>
      </c>
      <c r="W518" s="28">
        <v>0.01</v>
      </c>
      <c r="Z518" s="28">
        <v>0.01</v>
      </c>
      <c r="AC518" s="28">
        <v>0.52</v>
      </c>
      <c r="AF518" s="28">
        <v>0.3</v>
      </c>
      <c r="AI518" s="28">
        <v>0.27</v>
      </c>
      <c r="AL518" s="28">
        <v>0.4</v>
      </c>
      <c r="AO518" s="28">
        <v>0.14000000000000001</v>
      </c>
      <c r="AR518" s="28">
        <v>0.15</v>
      </c>
      <c r="AU518" s="28">
        <v>0.155</v>
      </c>
      <c r="AX518" s="28">
        <v>0</v>
      </c>
      <c r="BA518" s="28">
        <v>0.01</v>
      </c>
    </row>
    <row r="519" spans="1:53" s="28" customFormat="1" ht="21" x14ac:dyDescent="0.35">
      <c r="A519" s="1"/>
      <c r="B519" s="2"/>
      <c r="C519" s="2"/>
      <c r="D519" s="2"/>
      <c r="E519" s="2"/>
      <c r="F519" s="2"/>
      <c r="G519" s="2"/>
      <c r="H519" s="2"/>
      <c r="I519" s="40">
        <v>30780</v>
      </c>
      <c r="J519" s="39">
        <v>0.75876666650000002</v>
      </c>
      <c r="K519" s="28">
        <v>0.44</v>
      </c>
      <c r="N519" s="28">
        <v>0.6</v>
      </c>
      <c r="Q519" s="28">
        <v>0.36</v>
      </c>
      <c r="T519" s="28">
        <v>0.36</v>
      </c>
      <c r="W519" s="28">
        <v>0.01</v>
      </c>
      <c r="Z519" s="28">
        <v>0.01</v>
      </c>
      <c r="AC519" s="28">
        <v>0.52</v>
      </c>
      <c r="AF519" s="28">
        <v>0.3</v>
      </c>
      <c r="AI519" s="28">
        <v>0.26</v>
      </c>
      <c r="AL519" s="28">
        <v>0.4</v>
      </c>
      <c r="AO519" s="28">
        <v>0.15</v>
      </c>
      <c r="AR519" s="28">
        <v>0.16</v>
      </c>
      <c r="AU519" s="28">
        <v>0.16</v>
      </c>
      <c r="AX519" s="28">
        <v>0</v>
      </c>
      <c r="BA519" s="28">
        <v>0.01</v>
      </c>
    </row>
    <row r="520" spans="1:53" s="28" customFormat="1" ht="21" x14ac:dyDescent="0.35">
      <c r="A520" s="1"/>
      <c r="B520" s="2"/>
      <c r="C520" s="2"/>
      <c r="D520" s="2"/>
      <c r="E520" s="2"/>
      <c r="F520" s="2"/>
      <c r="G520" s="2"/>
      <c r="H520" s="2"/>
      <c r="I520" s="40">
        <v>30840</v>
      </c>
      <c r="J520" s="39">
        <v>0.75708484850000002</v>
      </c>
      <c r="K520" s="28">
        <v>0.44500000000000001</v>
      </c>
      <c r="N520" s="28">
        <v>0.60499999999999998</v>
      </c>
      <c r="Q520" s="28">
        <v>0.37</v>
      </c>
      <c r="T520" s="28">
        <v>0.36</v>
      </c>
      <c r="W520" s="28">
        <v>0.01</v>
      </c>
      <c r="Z520" s="28">
        <v>0.01</v>
      </c>
      <c r="AC520" s="28">
        <v>0.52</v>
      </c>
      <c r="AF520" s="28">
        <v>0.3</v>
      </c>
      <c r="AI520" s="28">
        <v>0.26500000000000001</v>
      </c>
      <c r="AL520" s="28">
        <v>0.40500000000000003</v>
      </c>
      <c r="AO520" s="28">
        <v>0.15</v>
      </c>
      <c r="AR520" s="28">
        <v>0.16</v>
      </c>
      <c r="AU520" s="28">
        <v>0.17</v>
      </c>
      <c r="AX520" s="28">
        <v>5.0000000000000001E-3</v>
      </c>
      <c r="BA520" s="28">
        <v>0.01</v>
      </c>
    </row>
    <row r="521" spans="1:53" s="28" customFormat="1" ht="21" x14ac:dyDescent="0.35">
      <c r="A521" s="1"/>
      <c r="B521" s="2"/>
      <c r="C521" s="2"/>
      <c r="D521" s="2"/>
      <c r="E521" s="2"/>
      <c r="F521" s="2"/>
      <c r="G521" s="2"/>
      <c r="H521" s="2"/>
      <c r="I521" s="40">
        <v>30900</v>
      </c>
      <c r="J521" s="39">
        <v>0.81311212099999997</v>
      </c>
      <c r="K521" s="28">
        <v>0.45</v>
      </c>
      <c r="N521" s="28">
        <v>0.625</v>
      </c>
      <c r="Q521" s="28">
        <v>0.38500000000000001</v>
      </c>
      <c r="T521" s="28">
        <v>0.375</v>
      </c>
      <c r="W521" s="28">
        <v>0.01</v>
      </c>
      <c r="Z521" s="28">
        <v>0.01</v>
      </c>
      <c r="AC521" s="28">
        <v>0.53500000000000003</v>
      </c>
      <c r="AF521" s="28">
        <v>0.31</v>
      </c>
      <c r="AI521" s="28">
        <v>0.27500000000000002</v>
      </c>
      <c r="AL521" s="28">
        <v>0.42499999999999999</v>
      </c>
      <c r="AO521" s="28">
        <v>0.16500000000000001</v>
      </c>
      <c r="AR521" s="28">
        <v>0.17499999999999999</v>
      </c>
      <c r="AU521" s="28">
        <v>0.18</v>
      </c>
      <c r="AX521" s="28">
        <v>0.01</v>
      </c>
      <c r="BA521" s="28">
        <v>0.01</v>
      </c>
    </row>
    <row r="522" spans="1:53" s="28" customFormat="1" ht="21" x14ac:dyDescent="0.35">
      <c r="A522" s="1"/>
      <c r="B522" s="2"/>
      <c r="C522" s="2"/>
      <c r="D522" s="2"/>
      <c r="E522" s="2"/>
      <c r="F522" s="2"/>
      <c r="G522" s="2"/>
      <c r="H522" s="2"/>
      <c r="I522" s="40">
        <v>30960</v>
      </c>
      <c r="J522" s="39">
        <v>0.90836060600000001</v>
      </c>
      <c r="K522" s="28">
        <v>0.46</v>
      </c>
      <c r="N522" s="28">
        <v>0.64500000000000002</v>
      </c>
      <c r="Q522" s="28">
        <v>0.40500000000000003</v>
      </c>
      <c r="T522" s="28">
        <v>0.39500000000000002</v>
      </c>
      <c r="W522" s="28">
        <v>0.01</v>
      </c>
      <c r="Z522" s="28">
        <v>0.01</v>
      </c>
      <c r="AC522" s="28">
        <v>0.55500000000000005</v>
      </c>
      <c r="AF522" s="28">
        <v>0.33500000000000002</v>
      </c>
      <c r="AI522" s="28">
        <v>0.29499999999999998</v>
      </c>
      <c r="AL522" s="28">
        <v>0.45</v>
      </c>
      <c r="AO522" s="28">
        <v>0.185</v>
      </c>
      <c r="AR522" s="28">
        <v>0.2</v>
      </c>
      <c r="AU522" s="28">
        <v>0.20499999999999999</v>
      </c>
      <c r="AX522" s="28">
        <v>0.01</v>
      </c>
      <c r="BA522" s="28">
        <v>0.01</v>
      </c>
    </row>
    <row r="523" spans="1:53" s="28" customFormat="1" ht="21" x14ac:dyDescent="0.35">
      <c r="A523" s="1"/>
      <c r="B523" s="2"/>
      <c r="C523" s="2"/>
      <c r="D523" s="2"/>
      <c r="E523" s="2"/>
      <c r="F523" s="2"/>
      <c r="G523" s="2"/>
      <c r="H523" s="2"/>
      <c r="I523" s="40">
        <v>31020</v>
      </c>
      <c r="J523" s="39">
        <v>1.0122272725000001</v>
      </c>
      <c r="K523" s="28">
        <v>0.47</v>
      </c>
      <c r="N523" s="28">
        <v>0.66500000000000004</v>
      </c>
      <c r="Q523" s="28">
        <v>0.42499999999999999</v>
      </c>
      <c r="T523" s="28">
        <v>0.42499999999999999</v>
      </c>
      <c r="W523" s="28">
        <v>0.01</v>
      </c>
      <c r="Z523" s="28">
        <v>1.4999999999999999E-2</v>
      </c>
      <c r="AC523" s="28">
        <v>0.57999999999999996</v>
      </c>
      <c r="AF523" s="28">
        <v>0.35499999999999998</v>
      </c>
      <c r="AI523" s="28">
        <v>0.32500000000000001</v>
      </c>
      <c r="AL523" s="28">
        <v>0.48</v>
      </c>
      <c r="AO523" s="28">
        <v>0.215</v>
      </c>
      <c r="AR523" s="28">
        <v>0.23499999999999999</v>
      </c>
      <c r="AU523" s="28">
        <v>0.23</v>
      </c>
      <c r="AX523" s="28">
        <v>0.01</v>
      </c>
      <c r="BA523" s="28">
        <v>2.5000000000000001E-2</v>
      </c>
    </row>
    <row r="524" spans="1:53" s="28" customFormat="1" ht="21" x14ac:dyDescent="0.35">
      <c r="A524" s="1"/>
      <c r="B524" s="2"/>
      <c r="C524" s="2"/>
      <c r="D524" s="2"/>
      <c r="E524" s="2"/>
      <c r="F524" s="2"/>
      <c r="G524" s="2"/>
      <c r="H524" s="2"/>
      <c r="I524" s="40">
        <v>31080</v>
      </c>
      <c r="J524" s="39">
        <v>1.054751515</v>
      </c>
      <c r="K524" s="28">
        <v>0.48</v>
      </c>
      <c r="N524" s="28">
        <v>0.68500000000000005</v>
      </c>
      <c r="Q524" s="28">
        <v>0.44500000000000001</v>
      </c>
      <c r="T524" s="28">
        <v>0.44500000000000001</v>
      </c>
      <c r="W524" s="28">
        <v>0.01</v>
      </c>
      <c r="Z524" s="28">
        <v>0.03</v>
      </c>
      <c r="AC524" s="28">
        <v>0.61</v>
      </c>
      <c r="AF524" s="28">
        <v>0.38500000000000001</v>
      </c>
      <c r="AI524" s="28">
        <v>0.35499999999999998</v>
      </c>
      <c r="AL524" s="28">
        <v>0.51500000000000001</v>
      </c>
      <c r="AO524" s="28">
        <v>0.25</v>
      </c>
      <c r="AR524" s="28">
        <v>0.27</v>
      </c>
      <c r="AU524" s="28">
        <v>0.27</v>
      </c>
      <c r="AX524" s="28">
        <v>1.4999999999999999E-2</v>
      </c>
      <c r="BA524" s="28">
        <v>4.4999999999999998E-2</v>
      </c>
    </row>
    <row r="525" spans="1:53" s="28" customFormat="1" ht="21" x14ac:dyDescent="0.35">
      <c r="A525" s="1"/>
      <c r="B525" s="2"/>
      <c r="C525" s="2"/>
      <c r="D525" s="2"/>
      <c r="E525" s="2"/>
      <c r="F525" s="2"/>
      <c r="G525" s="2"/>
      <c r="H525" s="2"/>
      <c r="I525" s="40">
        <v>31140</v>
      </c>
      <c r="J525" s="39">
        <v>1.0558727274999999</v>
      </c>
      <c r="K525" s="28">
        <v>0.49</v>
      </c>
      <c r="N525" s="28">
        <v>0.70499999999999996</v>
      </c>
      <c r="Q525" s="28">
        <v>0.47</v>
      </c>
      <c r="T525" s="28">
        <v>0.46500000000000002</v>
      </c>
      <c r="W525" s="28">
        <v>1.4999999999999999E-2</v>
      </c>
      <c r="Z525" s="28">
        <v>4.4999999999999998E-2</v>
      </c>
      <c r="AC525" s="28">
        <v>0.63500000000000001</v>
      </c>
      <c r="AF525" s="28">
        <v>0.41499999999999998</v>
      </c>
      <c r="AI525" s="28">
        <v>0.38500000000000001</v>
      </c>
      <c r="AL525" s="28">
        <v>0.55000000000000004</v>
      </c>
      <c r="AO525" s="28">
        <v>0.28000000000000003</v>
      </c>
      <c r="AR525" s="28">
        <v>0.31</v>
      </c>
      <c r="AU525" s="28">
        <v>0.31</v>
      </c>
      <c r="AX525" s="28">
        <v>3.5000000000000003E-2</v>
      </c>
      <c r="BA525" s="28">
        <v>7.0000000000000007E-2</v>
      </c>
    </row>
    <row r="526" spans="1:53" s="28" customFormat="1" ht="21" x14ac:dyDescent="0.35">
      <c r="A526" s="1"/>
      <c r="B526" s="2"/>
      <c r="C526" s="2"/>
      <c r="D526" s="2"/>
      <c r="E526" s="2"/>
      <c r="F526" s="2"/>
      <c r="G526" s="2"/>
      <c r="H526" s="2"/>
      <c r="I526" s="40">
        <v>31200</v>
      </c>
      <c r="J526" s="39">
        <v>1.0436969695</v>
      </c>
      <c r="K526" s="28">
        <v>0.49</v>
      </c>
      <c r="N526" s="28">
        <v>0.71499999999999997</v>
      </c>
      <c r="Q526" s="28">
        <v>0.48499999999999999</v>
      </c>
      <c r="T526" s="28">
        <v>0.48</v>
      </c>
      <c r="W526" s="28">
        <v>0.02</v>
      </c>
      <c r="Z526" s="28">
        <v>6.5000000000000002E-2</v>
      </c>
      <c r="AC526" s="28">
        <v>0.65</v>
      </c>
      <c r="AF526" s="28">
        <v>0.435</v>
      </c>
      <c r="AI526" s="28">
        <v>0.40500000000000003</v>
      </c>
      <c r="AL526" s="28">
        <v>0.57499999999999996</v>
      </c>
      <c r="AO526" s="28">
        <v>0.315</v>
      </c>
      <c r="AR526" s="28">
        <v>0.34</v>
      </c>
      <c r="AU526" s="28">
        <v>0.35</v>
      </c>
      <c r="AX526" s="28">
        <v>5.5E-2</v>
      </c>
      <c r="BA526" s="28">
        <v>0.1</v>
      </c>
    </row>
    <row r="527" spans="1:53" s="28" customFormat="1" ht="21" x14ac:dyDescent="0.35">
      <c r="A527" s="1"/>
      <c r="B527" s="2"/>
      <c r="C527" s="2"/>
      <c r="D527" s="2"/>
      <c r="E527" s="2"/>
      <c r="F527" s="2"/>
      <c r="G527" s="2"/>
      <c r="H527" s="2"/>
      <c r="I527" s="40">
        <v>31260</v>
      </c>
      <c r="J527" s="39">
        <v>1.027260606</v>
      </c>
      <c r="K527" s="28">
        <v>0.49</v>
      </c>
      <c r="N527" s="28">
        <v>0.72</v>
      </c>
      <c r="Q527" s="28">
        <v>0.49</v>
      </c>
      <c r="T527" s="28">
        <v>0.48499999999999999</v>
      </c>
      <c r="W527" s="28">
        <v>0.03</v>
      </c>
      <c r="Z527" s="28">
        <v>9.5000000000000001E-2</v>
      </c>
      <c r="AC527" s="28">
        <v>0.66</v>
      </c>
      <c r="AF527" s="28">
        <v>0.44500000000000001</v>
      </c>
      <c r="AI527" s="28">
        <v>0.41499999999999998</v>
      </c>
      <c r="AL527" s="28">
        <v>0.59499999999999997</v>
      </c>
      <c r="AO527" s="28">
        <v>0.33500000000000002</v>
      </c>
      <c r="AR527" s="28">
        <v>0.36</v>
      </c>
      <c r="AU527" s="28">
        <v>0.375</v>
      </c>
      <c r="AX527" s="28">
        <v>8.5000000000000006E-2</v>
      </c>
      <c r="BA527" s="28">
        <v>0.13500000000000001</v>
      </c>
    </row>
    <row r="528" spans="1:53" s="28" customFormat="1" ht="21" x14ac:dyDescent="0.35">
      <c r="A528" s="1"/>
      <c r="B528" s="2"/>
      <c r="C528" s="2"/>
      <c r="D528" s="2"/>
      <c r="E528" s="2"/>
      <c r="F528" s="2"/>
      <c r="G528" s="2"/>
      <c r="H528" s="2"/>
      <c r="I528" s="40">
        <v>31320</v>
      </c>
      <c r="J528" s="39">
        <v>1.0113515150000001</v>
      </c>
      <c r="K528" s="28">
        <v>0.49</v>
      </c>
      <c r="N528" s="28">
        <v>0.72499999999999998</v>
      </c>
      <c r="Q528" s="28">
        <v>0.5</v>
      </c>
      <c r="T528" s="28">
        <v>0.49</v>
      </c>
      <c r="W528" s="28">
        <v>3.5000000000000003E-2</v>
      </c>
      <c r="Z528" s="28">
        <v>0.105</v>
      </c>
      <c r="AC528" s="28">
        <v>0.67</v>
      </c>
      <c r="AF528" s="28">
        <v>0.45</v>
      </c>
      <c r="AI528" s="28">
        <v>0.42</v>
      </c>
      <c r="AL528" s="28">
        <v>0.61499999999999999</v>
      </c>
      <c r="AO528" s="28">
        <v>0.35499999999999998</v>
      </c>
      <c r="AR528" s="28">
        <v>0.375</v>
      </c>
      <c r="AU528" s="28">
        <v>0.40500000000000003</v>
      </c>
      <c r="AX528" s="28">
        <v>0.105</v>
      </c>
      <c r="BA528" s="28">
        <v>0.16500000000000001</v>
      </c>
    </row>
    <row r="529" spans="1:53" s="28" customFormat="1" ht="21" x14ac:dyDescent="0.35">
      <c r="A529" s="1"/>
      <c r="B529" s="2"/>
      <c r="C529" s="2"/>
      <c r="D529" s="2"/>
      <c r="E529" s="2"/>
      <c r="F529" s="2"/>
      <c r="G529" s="2"/>
      <c r="H529" s="2"/>
      <c r="I529" s="40">
        <v>31380</v>
      </c>
      <c r="J529" s="39">
        <v>0.99546969699999999</v>
      </c>
      <c r="K529" s="28">
        <v>0.49</v>
      </c>
      <c r="N529" s="28">
        <v>0.73</v>
      </c>
      <c r="Q529" s="28">
        <v>0.5</v>
      </c>
      <c r="T529" s="28">
        <v>0.49</v>
      </c>
      <c r="W529" s="28">
        <v>0.04</v>
      </c>
      <c r="Z529" s="28">
        <v>0.115</v>
      </c>
      <c r="AC529" s="28">
        <v>0.67</v>
      </c>
      <c r="AF529" s="28">
        <v>0.46</v>
      </c>
      <c r="AI529" s="28">
        <v>0.43</v>
      </c>
      <c r="AL529" s="28">
        <v>0.625</v>
      </c>
      <c r="AO529" s="28">
        <v>0.375</v>
      </c>
      <c r="AR529" s="28">
        <v>0.38500000000000001</v>
      </c>
      <c r="AU529" s="28">
        <v>0.42499999999999999</v>
      </c>
      <c r="AX529" s="28">
        <v>0.125</v>
      </c>
      <c r="BA529" s="28">
        <v>0.185</v>
      </c>
    </row>
    <row r="530" spans="1:53" s="28" customFormat="1" ht="21" x14ac:dyDescent="0.35">
      <c r="A530" s="1"/>
      <c r="B530" s="2"/>
      <c r="C530" s="2"/>
      <c r="D530" s="2"/>
      <c r="E530" s="2"/>
      <c r="F530" s="2"/>
      <c r="G530" s="2"/>
      <c r="H530" s="2"/>
      <c r="I530" s="40">
        <v>31440</v>
      </c>
      <c r="J530" s="39">
        <v>0.98170303000000003</v>
      </c>
      <c r="K530" s="28">
        <v>0.5</v>
      </c>
      <c r="N530" s="28">
        <v>0.73</v>
      </c>
      <c r="Q530" s="28">
        <v>0.505</v>
      </c>
      <c r="T530" s="28">
        <v>0.49</v>
      </c>
      <c r="W530" s="28">
        <v>0.04</v>
      </c>
      <c r="Z530" s="28">
        <v>0.12</v>
      </c>
      <c r="AC530" s="28">
        <v>0.68</v>
      </c>
      <c r="AF530" s="28">
        <v>0.46</v>
      </c>
      <c r="AI530" s="28">
        <v>0.43</v>
      </c>
      <c r="AL530" s="28">
        <v>0.64</v>
      </c>
      <c r="AO530" s="28">
        <v>0.38500000000000001</v>
      </c>
      <c r="AR530" s="28">
        <v>0.4</v>
      </c>
      <c r="AU530" s="28">
        <v>0.44500000000000001</v>
      </c>
      <c r="AX530" s="28">
        <v>0.13500000000000001</v>
      </c>
      <c r="BA530" s="28">
        <v>0.19500000000000001</v>
      </c>
    </row>
    <row r="531" spans="1:53" s="28" customFormat="1" ht="21" x14ac:dyDescent="0.35">
      <c r="A531" s="1"/>
      <c r="B531" s="2"/>
      <c r="C531" s="2"/>
      <c r="D531" s="2"/>
      <c r="E531" s="2"/>
      <c r="F531" s="2"/>
      <c r="G531" s="2"/>
      <c r="H531" s="2"/>
      <c r="I531" s="40">
        <v>31500</v>
      </c>
      <c r="J531" s="39">
        <v>0.96608181849999997</v>
      </c>
      <c r="K531" s="28">
        <v>0.5</v>
      </c>
      <c r="N531" s="28">
        <v>0.73</v>
      </c>
      <c r="Q531" s="28">
        <v>0.51</v>
      </c>
      <c r="T531" s="28">
        <v>0.5</v>
      </c>
      <c r="W531" s="28">
        <v>0.04</v>
      </c>
      <c r="Z531" s="28">
        <v>0.12</v>
      </c>
      <c r="AC531" s="28">
        <v>0.68</v>
      </c>
      <c r="AF531" s="28">
        <v>0.46</v>
      </c>
      <c r="AI531" s="28">
        <v>0.435</v>
      </c>
      <c r="AL531" s="28">
        <v>0.65</v>
      </c>
      <c r="AO531" s="28">
        <v>0.4</v>
      </c>
      <c r="AR531" s="28">
        <v>0.40500000000000003</v>
      </c>
      <c r="AU531" s="28">
        <v>0.46</v>
      </c>
      <c r="AX531" s="28">
        <v>0.14000000000000001</v>
      </c>
      <c r="BA531" s="28">
        <v>0.2</v>
      </c>
    </row>
    <row r="532" spans="1:53" s="28" customFormat="1" ht="21" x14ac:dyDescent="0.35">
      <c r="A532" s="1"/>
      <c r="B532" s="2"/>
      <c r="C532" s="2"/>
      <c r="D532" s="2"/>
      <c r="E532" s="2"/>
      <c r="F532" s="2"/>
      <c r="G532" s="2"/>
      <c r="H532" s="2"/>
      <c r="I532" s="40">
        <v>31560</v>
      </c>
      <c r="J532" s="39">
        <v>0.95352727250000002</v>
      </c>
      <c r="K532" s="28">
        <v>0.5</v>
      </c>
      <c r="N532" s="28">
        <v>0.73</v>
      </c>
      <c r="Q532" s="28">
        <v>0.51</v>
      </c>
      <c r="T532" s="28">
        <v>0.5</v>
      </c>
      <c r="W532" s="28">
        <v>0.04</v>
      </c>
      <c r="Z532" s="28">
        <v>0.12</v>
      </c>
      <c r="AC532" s="28">
        <v>0.68</v>
      </c>
      <c r="AF532" s="28">
        <v>0.47</v>
      </c>
      <c r="AI532" s="28">
        <v>0.44</v>
      </c>
      <c r="AL532" s="28">
        <v>0.66</v>
      </c>
      <c r="AO532" s="28">
        <v>0.41</v>
      </c>
      <c r="AR532" s="28">
        <v>0.41499999999999998</v>
      </c>
      <c r="AU532" s="28">
        <v>0.47499999999999998</v>
      </c>
      <c r="AX532" s="28">
        <v>0.14000000000000001</v>
      </c>
      <c r="BA532" s="28">
        <v>0.21</v>
      </c>
    </row>
    <row r="533" spans="1:53" s="28" customFormat="1" ht="21" x14ac:dyDescent="0.35">
      <c r="A533" s="1"/>
      <c r="B533" s="2"/>
      <c r="C533" s="2"/>
      <c r="D533" s="2"/>
      <c r="E533" s="2"/>
      <c r="F533" s="2"/>
      <c r="G533" s="2"/>
      <c r="H533" s="2"/>
      <c r="I533" s="40">
        <v>31620</v>
      </c>
      <c r="J533" s="39">
        <v>0.94189090900000005</v>
      </c>
      <c r="K533" s="28">
        <v>0.5</v>
      </c>
      <c r="N533" s="28">
        <v>0.73</v>
      </c>
      <c r="Q533" s="28">
        <v>0.51</v>
      </c>
      <c r="T533" s="28">
        <v>0.5</v>
      </c>
      <c r="W533" s="28">
        <v>3.5000000000000003E-2</v>
      </c>
      <c r="Z533" s="28">
        <v>0.12</v>
      </c>
      <c r="AC533" s="28">
        <v>0.69</v>
      </c>
      <c r="AF533" s="28">
        <v>0.47</v>
      </c>
      <c r="AI533" s="28">
        <v>0.44</v>
      </c>
      <c r="AL533" s="28">
        <v>0.66500000000000004</v>
      </c>
      <c r="AO533" s="28">
        <v>0.41499999999999998</v>
      </c>
      <c r="AR533" s="28">
        <v>0.42</v>
      </c>
      <c r="AU533" s="28">
        <v>0.48</v>
      </c>
      <c r="AX533" s="28">
        <v>0.14000000000000001</v>
      </c>
      <c r="BA533" s="28">
        <v>0.21</v>
      </c>
    </row>
    <row r="534" spans="1:53" s="28" customFormat="1" ht="21" x14ac:dyDescent="0.35">
      <c r="A534" s="1"/>
      <c r="B534" s="2"/>
      <c r="C534" s="2"/>
      <c r="D534" s="2"/>
      <c r="E534" s="2"/>
      <c r="F534" s="2"/>
      <c r="G534" s="2"/>
      <c r="H534" s="2"/>
      <c r="I534" s="40">
        <v>31680</v>
      </c>
      <c r="J534" s="39">
        <v>0.93019090900000001</v>
      </c>
      <c r="K534" s="28">
        <v>0.5</v>
      </c>
      <c r="N534" s="28">
        <v>0.73</v>
      </c>
      <c r="Q534" s="28">
        <v>0.51</v>
      </c>
      <c r="T534" s="28">
        <v>0.5</v>
      </c>
      <c r="W534" s="28">
        <v>0.03</v>
      </c>
      <c r="Z534" s="28">
        <v>0.11</v>
      </c>
      <c r="AC534" s="28">
        <v>0.69</v>
      </c>
      <c r="AF534" s="28">
        <v>0.47</v>
      </c>
      <c r="AI534" s="28">
        <v>0.44</v>
      </c>
      <c r="AL534" s="28">
        <v>0.67</v>
      </c>
      <c r="AO534" s="28">
        <v>0.42</v>
      </c>
      <c r="AR534" s="28">
        <v>0.42499999999999999</v>
      </c>
      <c r="AU534" s="28">
        <v>0.49</v>
      </c>
      <c r="AX534" s="28">
        <v>0.13500000000000001</v>
      </c>
      <c r="BA534" s="28">
        <v>0.21</v>
      </c>
    </row>
    <row r="535" spans="1:53" s="28" customFormat="1" ht="21" x14ac:dyDescent="0.35">
      <c r="A535" s="1"/>
      <c r="B535" s="2"/>
      <c r="C535" s="2"/>
      <c r="D535" s="2"/>
      <c r="E535" s="2"/>
      <c r="F535" s="2"/>
      <c r="G535" s="2"/>
      <c r="H535" s="2"/>
      <c r="I535" s="40">
        <v>31740</v>
      </c>
      <c r="J535" s="39">
        <v>0.91953636350000001</v>
      </c>
      <c r="K535" s="28">
        <v>0.5</v>
      </c>
      <c r="N535" s="28">
        <v>0.73</v>
      </c>
      <c r="Q535" s="28">
        <v>0.51</v>
      </c>
      <c r="T535" s="28">
        <v>0.5</v>
      </c>
      <c r="W535" s="28">
        <v>0.03</v>
      </c>
      <c r="Z535" s="28">
        <v>0.11</v>
      </c>
      <c r="AC535" s="28">
        <v>0.69</v>
      </c>
      <c r="AF535" s="28">
        <v>0.47</v>
      </c>
      <c r="AI535" s="28">
        <v>0.44</v>
      </c>
      <c r="AL535" s="28">
        <v>0.67</v>
      </c>
      <c r="AO535" s="28">
        <v>0.42</v>
      </c>
      <c r="AR535" s="28">
        <v>0.43</v>
      </c>
      <c r="AU535" s="28">
        <v>0.49</v>
      </c>
      <c r="AX535" s="28">
        <v>0.13</v>
      </c>
      <c r="BA535" s="28">
        <v>0.21</v>
      </c>
    </row>
    <row r="536" spans="1:53" s="28" customFormat="1" ht="21" x14ac:dyDescent="0.35">
      <c r="A536" s="1"/>
      <c r="B536" s="2"/>
      <c r="C536" s="2"/>
      <c r="D536" s="2"/>
      <c r="E536" s="2"/>
      <c r="F536" s="2"/>
      <c r="G536" s="2"/>
      <c r="H536" s="2"/>
      <c r="I536" s="40">
        <v>31800</v>
      </c>
      <c r="J536" s="39">
        <v>0.909772727</v>
      </c>
      <c r="K536" s="28">
        <v>0.5</v>
      </c>
      <c r="N536" s="28">
        <v>0.73</v>
      </c>
      <c r="Q536" s="28">
        <v>0.51</v>
      </c>
      <c r="T536" s="28">
        <v>0.495</v>
      </c>
      <c r="W536" s="28">
        <v>2.5000000000000001E-2</v>
      </c>
      <c r="Z536" s="28">
        <v>0.11</v>
      </c>
      <c r="AC536" s="28">
        <v>0.69</v>
      </c>
      <c r="AF536" s="28">
        <v>0.47</v>
      </c>
      <c r="AI536" s="28">
        <v>0.44</v>
      </c>
      <c r="AL536" s="28">
        <v>0.68</v>
      </c>
      <c r="AO536" s="28">
        <v>0.43</v>
      </c>
      <c r="AR536" s="28">
        <v>0.43</v>
      </c>
      <c r="AU536" s="28">
        <v>0.5</v>
      </c>
      <c r="AX536" s="28">
        <v>0.13</v>
      </c>
      <c r="BA536" s="28">
        <v>0.20499999999999999</v>
      </c>
    </row>
    <row r="537" spans="1:53" s="28" customFormat="1" ht="21" x14ac:dyDescent="0.35">
      <c r="A537" s="1"/>
      <c r="B537" s="2"/>
      <c r="C537" s="2"/>
      <c r="D537" s="2"/>
      <c r="E537" s="2"/>
      <c r="F537" s="2"/>
      <c r="G537" s="2"/>
      <c r="H537" s="2"/>
      <c r="I537" s="40">
        <v>31860</v>
      </c>
      <c r="J537" s="39">
        <v>0.90126666649999998</v>
      </c>
      <c r="K537" s="28">
        <v>0.5</v>
      </c>
      <c r="N537" s="28">
        <v>0.73</v>
      </c>
      <c r="Q537" s="28">
        <v>0.51</v>
      </c>
      <c r="T537" s="28">
        <v>0.49</v>
      </c>
      <c r="W537" s="28">
        <v>0.02</v>
      </c>
      <c r="Z537" s="28">
        <v>0.11</v>
      </c>
      <c r="AC537" s="28">
        <v>0.69</v>
      </c>
      <c r="AF537" s="28">
        <v>0.47</v>
      </c>
      <c r="AI537" s="28">
        <v>0.44</v>
      </c>
      <c r="AL537" s="28">
        <v>0.68</v>
      </c>
      <c r="AO537" s="28">
        <v>0.43</v>
      </c>
      <c r="AR537" s="28">
        <v>0.43</v>
      </c>
      <c r="AU537" s="28">
        <v>0.5</v>
      </c>
      <c r="AX537" s="28">
        <v>0.13</v>
      </c>
      <c r="BA537" s="28">
        <v>0.2</v>
      </c>
    </row>
    <row r="538" spans="1:53" s="28" customFormat="1" ht="21" x14ac:dyDescent="0.35">
      <c r="A538" s="1"/>
      <c r="B538" s="2"/>
      <c r="C538" s="2"/>
      <c r="D538" s="2"/>
      <c r="E538" s="2"/>
      <c r="F538" s="2"/>
      <c r="G538" s="2"/>
      <c r="H538" s="2"/>
      <c r="I538" s="40">
        <v>31920</v>
      </c>
      <c r="J538" s="39">
        <v>0.89270303049999999</v>
      </c>
      <c r="K538" s="28">
        <v>0.5</v>
      </c>
      <c r="N538" s="28">
        <v>0.73</v>
      </c>
      <c r="Q538" s="28">
        <v>0.505</v>
      </c>
      <c r="T538" s="28">
        <v>0.49</v>
      </c>
      <c r="W538" s="28">
        <v>0.02</v>
      </c>
      <c r="Z538" s="28">
        <v>0.105</v>
      </c>
      <c r="AC538" s="28">
        <v>0.69</v>
      </c>
      <c r="AF538" s="28">
        <v>0.47</v>
      </c>
      <c r="AI538" s="28">
        <v>0.44</v>
      </c>
      <c r="AL538" s="28">
        <v>0.68</v>
      </c>
      <c r="AO538" s="28">
        <v>0.43</v>
      </c>
      <c r="AR538" s="28">
        <v>0.44</v>
      </c>
      <c r="AU538" s="28">
        <v>0.5</v>
      </c>
      <c r="AX538" s="28">
        <v>0.13</v>
      </c>
      <c r="BA538" s="28">
        <v>0.2</v>
      </c>
    </row>
    <row r="539" spans="1:53" s="28" customFormat="1" ht="21" x14ac:dyDescent="0.35">
      <c r="A539" s="1"/>
      <c r="B539" s="2"/>
      <c r="C539" s="2"/>
      <c r="D539" s="2"/>
      <c r="E539" s="2"/>
      <c r="F539" s="2"/>
      <c r="G539" s="2"/>
      <c r="H539" s="2"/>
      <c r="I539" s="40">
        <v>31980</v>
      </c>
      <c r="J539" s="39">
        <v>0.88413030299999995</v>
      </c>
      <c r="K539" s="28">
        <v>0.5</v>
      </c>
      <c r="N539" s="28">
        <v>0.73</v>
      </c>
      <c r="Q539" s="28">
        <v>0.5</v>
      </c>
      <c r="T539" s="28">
        <v>0.49</v>
      </c>
      <c r="W539" s="28">
        <v>0.02</v>
      </c>
      <c r="Z539" s="28">
        <v>0.1</v>
      </c>
      <c r="AC539" s="28">
        <v>0.69</v>
      </c>
      <c r="AF539" s="28">
        <v>0.47</v>
      </c>
      <c r="AI539" s="28">
        <v>0.435</v>
      </c>
      <c r="AL539" s="28">
        <v>0.68</v>
      </c>
      <c r="AO539" s="28">
        <v>0.43</v>
      </c>
      <c r="AR539" s="28">
        <v>0.44</v>
      </c>
      <c r="AU539" s="28">
        <v>0.5</v>
      </c>
      <c r="AX539" s="28">
        <v>0.13</v>
      </c>
      <c r="BA539" s="28">
        <v>0.2</v>
      </c>
    </row>
    <row r="540" spans="1:53" s="28" customFormat="1" ht="21" x14ac:dyDescent="0.35">
      <c r="A540" s="1"/>
      <c r="B540" s="2"/>
      <c r="C540" s="2"/>
      <c r="D540" s="2"/>
      <c r="E540" s="2"/>
      <c r="F540" s="2"/>
      <c r="G540" s="2"/>
      <c r="H540" s="2"/>
      <c r="I540" s="40">
        <v>32040</v>
      </c>
      <c r="J540" s="39">
        <v>0.87603030299999995</v>
      </c>
      <c r="K540" s="28">
        <v>0.5</v>
      </c>
      <c r="N540" s="28">
        <v>0.73</v>
      </c>
      <c r="Q540" s="28">
        <v>0.5</v>
      </c>
      <c r="T540" s="28">
        <v>0.49</v>
      </c>
      <c r="W540" s="28">
        <v>0.02</v>
      </c>
      <c r="Z540" s="28">
        <v>0.1</v>
      </c>
      <c r="AC540" s="28">
        <v>0.69</v>
      </c>
      <c r="AF540" s="28">
        <v>0.47</v>
      </c>
      <c r="AI540" s="28">
        <v>0.43</v>
      </c>
      <c r="AL540" s="28">
        <v>0.68</v>
      </c>
      <c r="AO540" s="28">
        <v>0.43</v>
      </c>
      <c r="AR540" s="28">
        <v>0.44</v>
      </c>
      <c r="AU540" s="28">
        <v>0.5</v>
      </c>
      <c r="AX540" s="28">
        <v>0.13</v>
      </c>
      <c r="BA540" s="28">
        <v>0.19500000000000001</v>
      </c>
    </row>
    <row r="541" spans="1:53" s="28" customFormat="1" ht="21" x14ac:dyDescent="0.35">
      <c r="A541" s="1"/>
      <c r="B541" s="2"/>
      <c r="C541" s="2"/>
      <c r="D541" s="2"/>
      <c r="E541" s="2"/>
      <c r="F541" s="2"/>
      <c r="G541" s="2"/>
      <c r="H541" s="2"/>
      <c r="I541" s="40">
        <v>32100</v>
      </c>
      <c r="J541" s="39">
        <v>0.86917272700000003</v>
      </c>
      <c r="K541" s="28">
        <v>0.495</v>
      </c>
      <c r="N541" s="28">
        <v>0.73</v>
      </c>
      <c r="Q541" s="28">
        <v>0.5</v>
      </c>
      <c r="T541" s="28">
        <v>0.49</v>
      </c>
      <c r="W541" s="28">
        <v>1.4999999999999999E-2</v>
      </c>
      <c r="Z541" s="28">
        <v>0.1</v>
      </c>
      <c r="AC541" s="28">
        <v>0.68500000000000005</v>
      </c>
      <c r="AF541" s="28">
        <v>0.47</v>
      </c>
      <c r="AI541" s="28">
        <v>0.43</v>
      </c>
      <c r="AL541" s="28">
        <v>0.68</v>
      </c>
      <c r="AO541" s="28">
        <v>0.43</v>
      </c>
      <c r="AR541" s="28">
        <v>0.44</v>
      </c>
      <c r="AU541" s="28">
        <v>0.5</v>
      </c>
      <c r="AX541" s="28">
        <v>0.13</v>
      </c>
      <c r="BA541" s="28">
        <v>0.19</v>
      </c>
    </row>
    <row r="542" spans="1:53" s="28" customFormat="1" ht="21" x14ac:dyDescent="0.35">
      <c r="A542" s="1"/>
      <c r="B542" s="2"/>
      <c r="C542" s="2"/>
      <c r="D542" s="2"/>
      <c r="E542" s="2"/>
      <c r="F542" s="2"/>
      <c r="G542" s="2"/>
      <c r="H542" s="2"/>
      <c r="I542" s="40">
        <v>32160</v>
      </c>
      <c r="J542" s="39">
        <v>0.86185454549999996</v>
      </c>
      <c r="K542" s="28">
        <v>0.49</v>
      </c>
      <c r="N542" s="28">
        <v>0.72499999999999998</v>
      </c>
      <c r="Q542" s="28">
        <v>0.5</v>
      </c>
      <c r="T542" s="28">
        <v>0.48499999999999999</v>
      </c>
      <c r="W542" s="28">
        <v>0.01</v>
      </c>
      <c r="Z542" s="28">
        <v>0.09</v>
      </c>
      <c r="AC542" s="28">
        <v>0.68</v>
      </c>
      <c r="AF542" s="28">
        <v>0.47</v>
      </c>
      <c r="AI542" s="28">
        <v>0.43</v>
      </c>
      <c r="AL542" s="28">
        <v>0.68</v>
      </c>
      <c r="AO542" s="28">
        <v>0.43</v>
      </c>
      <c r="AR542" s="28">
        <v>0.44</v>
      </c>
      <c r="AU542" s="28">
        <v>0.5</v>
      </c>
      <c r="AX542" s="28">
        <v>0.125</v>
      </c>
      <c r="BA542" s="28">
        <v>0.185</v>
      </c>
    </row>
    <row r="543" spans="1:53" s="28" customFormat="1" ht="21" x14ac:dyDescent="0.35">
      <c r="A543" s="1"/>
      <c r="B543" s="2"/>
      <c r="C543" s="2"/>
      <c r="D543" s="2"/>
      <c r="E543" s="2"/>
      <c r="F543" s="2"/>
      <c r="G543" s="2"/>
      <c r="H543" s="2"/>
      <c r="I543" s="40">
        <v>32220</v>
      </c>
      <c r="J543" s="39">
        <v>0.85458787849999995</v>
      </c>
      <c r="K543" s="28">
        <v>0.49</v>
      </c>
      <c r="N543" s="28">
        <v>0.72</v>
      </c>
      <c r="Q543" s="28">
        <v>0.5</v>
      </c>
      <c r="T543" s="28">
        <v>0.48</v>
      </c>
      <c r="W543" s="28">
        <v>0.01</v>
      </c>
      <c r="Z543" s="28">
        <v>8.5000000000000006E-2</v>
      </c>
      <c r="AC543" s="28">
        <v>0.68</v>
      </c>
      <c r="AF543" s="28">
        <v>0.46</v>
      </c>
      <c r="AI543" s="28">
        <v>0.43</v>
      </c>
      <c r="AL543" s="28">
        <v>0.68</v>
      </c>
      <c r="AO543" s="28">
        <v>0.43</v>
      </c>
      <c r="AR543" s="28">
        <v>0.435</v>
      </c>
      <c r="AU543" s="28">
        <v>0.49</v>
      </c>
      <c r="AX543" s="28">
        <v>0.115</v>
      </c>
      <c r="BA543" s="28">
        <v>0.18</v>
      </c>
    </row>
    <row r="544" spans="1:53" s="28" customFormat="1" ht="21" x14ac:dyDescent="0.35">
      <c r="A544" s="1"/>
      <c r="B544" s="2"/>
      <c r="C544" s="2"/>
      <c r="D544" s="2"/>
      <c r="E544" s="2"/>
      <c r="F544" s="2"/>
      <c r="G544" s="2"/>
      <c r="H544" s="2"/>
      <c r="I544" s="40">
        <v>32280</v>
      </c>
      <c r="J544" s="39">
        <v>0.8480878785</v>
      </c>
      <c r="K544" s="28">
        <v>0.49</v>
      </c>
      <c r="N544" s="28">
        <v>0.72</v>
      </c>
      <c r="Q544" s="28">
        <v>0.49</v>
      </c>
      <c r="T544" s="28">
        <v>0.48</v>
      </c>
      <c r="W544" s="28">
        <v>0</v>
      </c>
      <c r="Z544" s="28">
        <v>0.08</v>
      </c>
      <c r="AC544" s="28">
        <v>0.68</v>
      </c>
      <c r="AF544" s="28">
        <v>0.46</v>
      </c>
      <c r="AI544" s="28">
        <v>0.42</v>
      </c>
      <c r="AL544" s="28">
        <v>0.68</v>
      </c>
      <c r="AO544" s="28">
        <v>0.43</v>
      </c>
      <c r="AR544" s="28">
        <v>0.43</v>
      </c>
      <c r="AU544" s="28">
        <v>0.49</v>
      </c>
      <c r="AX544" s="28">
        <v>0.11</v>
      </c>
      <c r="BA544" s="28">
        <v>0.17</v>
      </c>
    </row>
    <row r="545" spans="1:53" s="28" customFormat="1" ht="21" x14ac:dyDescent="0.35">
      <c r="A545" s="1"/>
      <c r="B545" s="2"/>
      <c r="C545" s="2"/>
      <c r="D545" s="2"/>
      <c r="E545" s="2"/>
      <c r="F545" s="2"/>
      <c r="G545" s="2"/>
      <c r="H545" s="2"/>
      <c r="I545" s="40">
        <v>32340</v>
      </c>
      <c r="J545" s="39">
        <v>0.84273636399999996</v>
      </c>
      <c r="K545" s="28">
        <v>0.49</v>
      </c>
      <c r="N545" s="28">
        <v>0.72</v>
      </c>
      <c r="Q545" s="28">
        <v>0.49</v>
      </c>
      <c r="T545" s="28">
        <v>0.48</v>
      </c>
      <c r="W545" s="28">
        <v>0</v>
      </c>
      <c r="Z545" s="28">
        <v>7.0000000000000007E-2</v>
      </c>
      <c r="AC545" s="28">
        <v>0.68</v>
      </c>
      <c r="AF545" s="28">
        <v>0.46</v>
      </c>
      <c r="AI545" s="28">
        <v>0.42</v>
      </c>
      <c r="AL545" s="28">
        <v>0.68</v>
      </c>
      <c r="AO545" s="28">
        <v>0.42499999999999999</v>
      </c>
      <c r="AR545" s="28">
        <v>0.43</v>
      </c>
      <c r="AU545" s="28">
        <v>0.49</v>
      </c>
      <c r="AX545" s="28">
        <v>0.1</v>
      </c>
      <c r="BA545" s="28">
        <v>0.16500000000000001</v>
      </c>
    </row>
    <row r="546" spans="1:53" s="28" customFormat="1" ht="21" x14ac:dyDescent="0.35">
      <c r="A546" s="1"/>
      <c r="B546" s="2"/>
      <c r="C546" s="2"/>
      <c r="D546" s="2"/>
      <c r="E546" s="2"/>
      <c r="F546" s="2"/>
      <c r="G546" s="2"/>
      <c r="H546" s="2"/>
      <c r="I546" s="40">
        <v>32400</v>
      </c>
      <c r="J546" s="39">
        <v>0.83577575749999999</v>
      </c>
      <c r="K546" s="28">
        <v>0.49</v>
      </c>
      <c r="N546" s="28">
        <v>0.72</v>
      </c>
      <c r="Q546" s="28">
        <v>0.49</v>
      </c>
      <c r="T546" s="28">
        <v>0.48</v>
      </c>
      <c r="W546" s="28">
        <v>0</v>
      </c>
      <c r="Z546" s="28">
        <v>7.0000000000000007E-2</v>
      </c>
      <c r="AC546" s="28">
        <v>0.67</v>
      </c>
      <c r="AF546" s="28">
        <v>0.46</v>
      </c>
      <c r="AI546" s="28">
        <v>0.42</v>
      </c>
      <c r="AL546" s="28">
        <v>0.67500000000000004</v>
      </c>
      <c r="AO546" s="28">
        <v>0.42</v>
      </c>
      <c r="AR546" s="28">
        <v>0.43</v>
      </c>
      <c r="AU546" s="28">
        <v>0.48</v>
      </c>
      <c r="AX546" s="28">
        <v>0.09</v>
      </c>
      <c r="BA546" s="28">
        <v>0.16</v>
      </c>
    </row>
    <row r="547" spans="1:53" s="28" customFormat="1" ht="21" x14ac:dyDescent="0.35">
      <c r="A547" s="1"/>
      <c r="B547" s="2"/>
      <c r="C547" s="2"/>
      <c r="D547" s="2"/>
      <c r="E547" s="2"/>
      <c r="F547" s="2"/>
      <c r="G547" s="2"/>
      <c r="H547" s="2"/>
      <c r="I547" s="40">
        <v>32460</v>
      </c>
      <c r="J547" s="39">
        <v>0.82922121199999999</v>
      </c>
      <c r="K547" s="28">
        <v>0.49</v>
      </c>
      <c r="N547" s="28">
        <v>0.71</v>
      </c>
      <c r="Q547" s="28">
        <v>0.49</v>
      </c>
      <c r="T547" s="28">
        <v>0.47</v>
      </c>
      <c r="W547" s="28">
        <v>0</v>
      </c>
      <c r="Z547" s="28">
        <v>0.06</v>
      </c>
      <c r="AC547" s="28">
        <v>0.67</v>
      </c>
      <c r="AF547" s="28">
        <v>0.45</v>
      </c>
      <c r="AI547" s="28">
        <v>0.41499999999999998</v>
      </c>
      <c r="AL547" s="28">
        <v>0.67</v>
      </c>
      <c r="AO547" s="28">
        <v>0.42</v>
      </c>
      <c r="AR547" s="28">
        <v>0.42499999999999999</v>
      </c>
      <c r="AU547" s="28">
        <v>0.48</v>
      </c>
      <c r="AX547" s="28">
        <v>0.08</v>
      </c>
      <c r="BA547" s="28">
        <v>0.15</v>
      </c>
    </row>
    <row r="548" spans="1:53" s="28" customFormat="1" ht="21" x14ac:dyDescent="0.35">
      <c r="A548" s="1"/>
      <c r="B548" s="2"/>
      <c r="C548" s="2"/>
      <c r="D548" s="2"/>
      <c r="E548" s="2"/>
      <c r="F548" s="2"/>
      <c r="G548" s="2"/>
      <c r="H548" s="2"/>
      <c r="I548" s="40">
        <v>32520</v>
      </c>
      <c r="J548" s="39">
        <v>0.82351515149999999</v>
      </c>
      <c r="K548" s="28">
        <v>0.49</v>
      </c>
      <c r="N548" s="28">
        <v>0.71</v>
      </c>
      <c r="Q548" s="28">
        <v>0.48</v>
      </c>
      <c r="T548" s="28">
        <v>0.47</v>
      </c>
      <c r="W548" s="28">
        <v>0</v>
      </c>
      <c r="Z548" s="28">
        <v>0.06</v>
      </c>
      <c r="AC548" s="28">
        <v>0.67</v>
      </c>
      <c r="AF548" s="28">
        <v>0.45</v>
      </c>
      <c r="AI548" s="28">
        <v>0.41</v>
      </c>
      <c r="AL548" s="28">
        <v>0.67</v>
      </c>
      <c r="AO548" s="28">
        <v>0.41499999999999998</v>
      </c>
      <c r="AR548" s="28">
        <v>0.42</v>
      </c>
      <c r="AU548" s="28">
        <v>0.47</v>
      </c>
      <c r="AX548" s="28">
        <v>7.0000000000000007E-2</v>
      </c>
      <c r="BA548" s="28">
        <v>0.14000000000000001</v>
      </c>
    </row>
    <row r="549" spans="1:53" s="28" customFormat="1" ht="21" x14ac:dyDescent="0.35">
      <c r="A549" s="1"/>
      <c r="B549" s="2"/>
      <c r="C549" s="2"/>
      <c r="D549" s="2"/>
      <c r="E549" s="2"/>
      <c r="F549" s="2"/>
      <c r="G549" s="2"/>
      <c r="H549" s="2"/>
      <c r="I549" s="40">
        <v>32580</v>
      </c>
      <c r="J549" s="39">
        <v>0.81850000000000001</v>
      </c>
      <c r="K549" s="28">
        <v>0.49</v>
      </c>
      <c r="N549" s="28">
        <v>0.71</v>
      </c>
      <c r="Q549" s="28">
        <v>0.48</v>
      </c>
      <c r="T549" s="28">
        <v>0.47</v>
      </c>
      <c r="W549" s="28">
        <v>0</v>
      </c>
      <c r="Z549" s="28">
        <v>0.05</v>
      </c>
      <c r="AC549" s="28">
        <v>0.66500000000000004</v>
      </c>
      <c r="AF549" s="28">
        <v>0.45</v>
      </c>
      <c r="AI549" s="28">
        <v>0.41</v>
      </c>
      <c r="AL549" s="28">
        <v>0.66500000000000004</v>
      </c>
      <c r="AO549" s="28">
        <v>0.41</v>
      </c>
      <c r="AR549" s="28">
        <v>0.42</v>
      </c>
      <c r="AU549" s="28">
        <v>0.47</v>
      </c>
      <c r="AX549" s="28">
        <v>0.06</v>
      </c>
      <c r="BA549" s="28">
        <v>0.13500000000000001</v>
      </c>
    </row>
    <row r="550" spans="1:53" s="28" customFormat="1" ht="21" x14ac:dyDescent="0.35">
      <c r="A550" s="1"/>
      <c r="B550" s="2"/>
      <c r="C550" s="2"/>
      <c r="D550" s="2"/>
      <c r="E550" s="2"/>
      <c r="F550" s="2"/>
      <c r="G550" s="2"/>
      <c r="H550" s="2"/>
      <c r="I550" s="40">
        <v>32640</v>
      </c>
      <c r="J550" s="39">
        <v>0.81349393950000004</v>
      </c>
      <c r="K550" s="28">
        <v>0.49</v>
      </c>
      <c r="N550" s="28">
        <v>0.71</v>
      </c>
      <c r="Q550" s="28">
        <v>0.48</v>
      </c>
      <c r="T550" s="28">
        <v>0.46500000000000002</v>
      </c>
      <c r="W550" s="28">
        <v>0</v>
      </c>
      <c r="Z550" s="28">
        <v>0.05</v>
      </c>
      <c r="AC550" s="28">
        <v>0.66</v>
      </c>
      <c r="AF550" s="28">
        <v>0.44</v>
      </c>
      <c r="AI550" s="28">
        <v>0.40500000000000003</v>
      </c>
      <c r="AL550" s="28">
        <v>0.66</v>
      </c>
      <c r="AO550" s="28">
        <v>0.41</v>
      </c>
      <c r="AR550" s="28">
        <v>0.41</v>
      </c>
      <c r="AU550" s="28">
        <v>0.46</v>
      </c>
      <c r="AX550" s="28">
        <v>0.05</v>
      </c>
      <c r="BA550" s="28">
        <v>0.125</v>
      </c>
    </row>
    <row r="551" spans="1:53" s="28" customFormat="1" ht="21" x14ac:dyDescent="0.35">
      <c r="A551" s="1"/>
      <c r="B551" s="2"/>
      <c r="C551" s="2"/>
      <c r="D551" s="2"/>
      <c r="E551" s="2"/>
      <c r="F551" s="2"/>
      <c r="G551" s="2"/>
      <c r="H551" s="2"/>
      <c r="I551" s="40">
        <v>32700</v>
      </c>
      <c r="J551" s="39">
        <v>0.80652424199999995</v>
      </c>
      <c r="K551" s="28">
        <v>0.49</v>
      </c>
      <c r="N551" s="28">
        <v>0.70499999999999996</v>
      </c>
      <c r="Q551" s="28">
        <v>0.48</v>
      </c>
      <c r="T551" s="28">
        <v>0.46</v>
      </c>
      <c r="W551" s="28">
        <v>0</v>
      </c>
      <c r="Z551" s="28">
        <v>4.4999999999999998E-2</v>
      </c>
      <c r="AC551" s="28">
        <v>0.66</v>
      </c>
      <c r="AF551" s="28">
        <v>0.44</v>
      </c>
      <c r="AI551" s="28">
        <v>0.4</v>
      </c>
      <c r="AL551" s="28">
        <v>0.66</v>
      </c>
      <c r="AO551" s="28">
        <v>0.4</v>
      </c>
      <c r="AR551" s="28">
        <v>0.41</v>
      </c>
      <c r="AU551" s="28">
        <v>0.45500000000000002</v>
      </c>
      <c r="AX551" s="28">
        <v>4.4999999999999998E-2</v>
      </c>
      <c r="BA551" s="28">
        <v>0.115</v>
      </c>
    </row>
    <row r="552" spans="1:53" s="28" customFormat="1" ht="21" x14ac:dyDescent="0.35">
      <c r="A552" s="1"/>
      <c r="B552" s="2"/>
      <c r="C552" s="2"/>
      <c r="D552" s="2"/>
      <c r="E552" s="2"/>
      <c r="F552" s="2"/>
      <c r="G552" s="2"/>
      <c r="H552" s="2"/>
      <c r="I552" s="40">
        <v>32760</v>
      </c>
      <c r="J552" s="39">
        <v>0.80088181849999995</v>
      </c>
      <c r="K552" s="28">
        <v>0.48499999999999999</v>
      </c>
      <c r="N552" s="28">
        <v>0.7</v>
      </c>
      <c r="Q552" s="28">
        <v>0.47</v>
      </c>
      <c r="T552" s="28">
        <v>0.46</v>
      </c>
      <c r="W552" s="28">
        <v>0</v>
      </c>
      <c r="Z552" s="28">
        <v>0.04</v>
      </c>
      <c r="AC552" s="28">
        <v>0.65</v>
      </c>
      <c r="AF552" s="28">
        <v>0.44</v>
      </c>
      <c r="AI552" s="28">
        <v>0.4</v>
      </c>
      <c r="AL552" s="28">
        <v>0.65</v>
      </c>
      <c r="AO552" s="28">
        <v>0.4</v>
      </c>
      <c r="AR552" s="28">
        <v>0.4</v>
      </c>
      <c r="AU552" s="28">
        <v>0.45</v>
      </c>
      <c r="AX552" s="28">
        <v>3.5000000000000003E-2</v>
      </c>
      <c r="BA552" s="28">
        <v>0.105</v>
      </c>
    </row>
    <row r="553" spans="1:53" s="28" customFormat="1" ht="21" x14ac:dyDescent="0.35">
      <c r="A553" s="1"/>
      <c r="B553" s="2"/>
      <c r="C553" s="2"/>
      <c r="D553" s="2"/>
      <c r="E553" s="2"/>
      <c r="F553" s="2"/>
      <c r="G553" s="2"/>
      <c r="H553" s="2"/>
      <c r="I553" s="40">
        <v>32820</v>
      </c>
      <c r="J553" s="39">
        <v>0.79581515150000004</v>
      </c>
      <c r="K553" s="28">
        <v>0.48</v>
      </c>
      <c r="N553" s="28">
        <v>0.7</v>
      </c>
      <c r="Q553" s="28">
        <v>0.47</v>
      </c>
      <c r="T553" s="28">
        <v>0.46</v>
      </c>
      <c r="W553" s="28">
        <v>0</v>
      </c>
      <c r="Z553" s="28">
        <v>3.5000000000000003E-2</v>
      </c>
      <c r="AC553" s="28">
        <v>0.65</v>
      </c>
      <c r="AF553" s="28">
        <v>0.43</v>
      </c>
      <c r="AI553" s="28">
        <v>0.39</v>
      </c>
      <c r="AL553" s="28">
        <v>0.65</v>
      </c>
      <c r="AO553" s="28">
        <v>0.39</v>
      </c>
      <c r="AR553" s="28">
        <v>0.4</v>
      </c>
      <c r="AU553" s="28">
        <v>0.44</v>
      </c>
      <c r="AX553" s="28">
        <v>2.5000000000000001E-2</v>
      </c>
      <c r="BA553" s="28">
        <v>9.5000000000000001E-2</v>
      </c>
    </row>
    <row r="554" spans="1:53" s="28" customFormat="1" ht="21" x14ac:dyDescent="0.35">
      <c r="A554" s="1"/>
      <c r="B554" s="2"/>
      <c r="C554" s="2"/>
      <c r="D554" s="2"/>
      <c r="E554" s="2"/>
      <c r="F554" s="2"/>
      <c r="G554" s="2"/>
      <c r="H554" s="2"/>
      <c r="I554" s="40">
        <v>32880</v>
      </c>
      <c r="J554" s="39">
        <v>0.79128484850000003</v>
      </c>
      <c r="K554" s="28">
        <v>0.48</v>
      </c>
      <c r="N554" s="28">
        <v>0.7</v>
      </c>
      <c r="Q554" s="28">
        <v>0.47</v>
      </c>
      <c r="T554" s="28">
        <v>0.45</v>
      </c>
      <c r="W554" s="28">
        <v>0</v>
      </c>
      <c r="Z554" s="28">
        <v>0.03</v>
      </c>
      <c r="AC554" s="28">
        <v>0.64500000000000002</v>
      </c>
      <c r="AF554" s="28">
        <v>0.43</v>
      </c>
      <c r="AI554" s="28">
        <v>0.39</v>
      </c>
      <c r="AL554" s="28">
        <v>0.64</v>
      </c>
      <c r="AO554" s="28">
        <v>0.39</v>
      </c>
      <c r="AR554" s="28">
        <v>0.39</v>
      </c>
      <c r="AU554" s="28">
        <v>0.435</v>
      </c>
      <c r="AX554" s="28">
        <v>1.4999999999999999E-2</v>
      </c>
      <c r="BA554" s="28">
        <v>8.5000000000000006E-2</v>
      </c>
    </row>
    <row r="555" spans="1:53" s="28" customFormat="1" ht="21" x14ac:dyDescent="0.35">
      <c r="A555" s="1"/>
      <c r="B555" s="2"/>
      <c r="C555" s="2"/>
      <c r="D555" s="2"/>
      <c r="E555" s="2"/>
      <c r="F555" s="2"/>
      <c r="G555" s="2"/>
      <c r="H555" s="2"/>
      <c r="I555" s="40">
        <v>32940</v>
      </c>
      <c r="J555" s="39">
        <v>0.78465454550000002</v>
      </c>
      <c r="K555" s="28">
        <v>0.48</v>
      </c>
      <c r="N555" s="28">
        <v>0.69</v>
      </c>
      <c r="Q555" s="28">
        <v>0.46500000000000002</v>
      </c>
      <c r="T555" s="28">
        <v>0.45</v>
      </c>
      <c r="W555" s="28">
        <v>0</v>
      </c>
      <c r="Z555" s="28">
        <v>0.03</v>
      </c>
      <c r="AC555" s="28">
        <v>0.64</v>
      </c>
      <c r="AF555" s="28">
        <v>0.42499999999999999</v>
      </c>
      <c r="AI555" s="28">
        <v>0.38500000000000001</v>
      </c>
      <c r="AL555" s="28">
        <v>0.63500000000000001</v>
      </c>
      <c r="AO555" s="28">
        <v>0.38</v>
      </c>
      <c r="AR555" s="28">
        <v>0.39</v>
      </c>
      <c r="AU555" s="28">
        <v>0.43</v>
      </c>
      <c r="AX555" s="28">
        <v>0.01</v>
      </c>
      <c r="BA555" s="28">
        <v>7.4999999999999997E-2</v>
      </c>
    </row>
    <row r="556" spans="1:53" s="28" customFormat="1" ht="21" x14ac:dyDescent="0.35">
      <c r="A556" s="1"/>
      <c r="B556" s="2"/>
      <c r="C556" s="2"/>
      <c r="D556" s="2"/>
      <c r="E556" s="2"/>
      <c r="F556" s="2"/>
      <c r="G556" s="2"/>
      <c r="H556" s="2"/>
      <c r="I556" s="40">
        <v>33000</v>
      </c>
      <c r="J556" s="39">
        <v>0.77899090900000001</v>
      </c>
      <c r="K556" s="28">
        <v>0.48</v>
      </c>
      <c r="N556" s="28">
        <v>0.69</v>
      </c>
      <c r="Q556" s="28">
        <v>0.46</v>
      </c>
      <c r="T556" s="28">
        <v>0.45</v>
      </c>
      <c r="W556" s="28">
        <v>0</v>
      </c>
      <c r="Z556" s="28">
        <v>0.02</v>
      </c>
      <c r="AC556" s="28">
        <v>0.64</v>
      </c>
      <c r="AF556" s="28">
        <v>0.42</v>
      </c>
      <c r="AI556" s="28">
        <v>0.38</v>
      </c>
      <c r="AL556" s="28">
        <v>0.63</v>
      </c>
      <c r="AO556" s="28">
        <v>0.375</v>
      </c>
      <c r="AR556" s="28">
        <v>0.38</v>
      </c>
      <c r="AU556" s="28">
        <v>0.42</v>
      </c>
      <c r="AX556" s="28">
        <v>0</v>
      </c>
      <c r="BA556" s="28">
        <v>6.5000000000000002E-2</v>
      </c>
    </row>
    <row r="557" spans="1:53" s="28" customFormat="1" ht="21" x14ac:dyDescent="0.35">
      <c r="A557" s="1"/>
      <c r="B557" s="2"/>
      <c r="C557" s="2"/>
      <c r="D557" s="2"/>
      <c r="E557" s="2"/>
      <c r="F557" s="2"/>
      <c r="G557" s="2"/>
      <c r="H557" s="2"/>
      <c r="I557" s="40">
        <v>33060</v>
      </c>
      <c r="J557" s="39">
        <v>0.77305151500000002</v>
      </c>
      <c r="K557" s="28">
        <v>0.48</v>
      </c>
      <c r="N557" s="28">
        <v>0.69</v>
      </c>
      <c r="Q557" s="28">
        <v>0.46</v>
      </c>
      <c r="T557" s="28">
        <v>0.44500000000000001</v>
      </c>
      <c r="W557" s="28">
        <v>0</v>
      </c>
      <c r="Z557" s="28">
        <v>0.02</v>
      </c>
      <c r="AC557" s="28">
        <v>0.63</v>
      </c>
      <c r="AF557" s="28">
        <v>0.41499999999999998</v>
      </c>
      <c r="AI557" s="28">
        <v>0.38</v>
      </c>
      <c r="AL557" s="28">
        <v>0.625</v>
      </c>
      <c r="AO557" s="28">
        <v>0.37</v>
      </c>
      <c r="AR557" s="28">
        <v>0.375</v>
      </c>
      <c r="AU557" s="28">
        <v>0.41</v>
      </c>
      <c r="AX557" s="28">
        <v>0</v>
      </c>
      <c r="BA557" s="28">
        <v>5.5E-2</v>
      </c>
    </row>
    <row r="558" spans="1:53" s="28" customFormat="1" ht="21" x14ac:dyDescent="0.35">
      <c r="A558" s="1"/>
      <c r="B558" s="2"/>
      <c r="C558" s="2"/>
      <c r="D558" s="2"/>
      <c r="E558" s="2"/>
      <c r="F558" s="2"/>
      <c r="G558" s="2"/>
      <c r="H558" s="2"/>
      <c r="I558" s="40">
        <v>33120</v>
      </c>
      <c r="J558" s="39">
        <v>0.76784848500000003</v>
      </c>
      <c r="K558" s="28">
        <v>0.48</v>
      </c>
      <c r="N558" s="28">
        <v>0.68</v>
      </c>
      <c r="Q558" s="28">
        <v>0.45500000000000002</v>
      </c>
      <c r="T558" s="28">
        <v>0.44</v>
      </c>
      <c r="W558" s="28">
        <v>0</v>
      </c>
      <c r="Z558" s="28">
        <v>1.4999999999999999E-2</v>
      </c>
      <c r="AC558" s="28">
        <v>0.63</v>
      </c>
      <c r="AF558" s="28">
        <v>0.41</v>
      </c>
      <c r="AI558" s="28">
        <v>0.37</v>
      </c>
      <c r="AL558" s="28">
        <v>0.62</v>
      </c>
      <c r="AO558" s="28">
        <v>0.36499999999999999</v>
      </c>
      <c r="AR558" s="28">
        <v>0.37</v>
      </c>
      <c r="AU558" s="28">
        <v>0.4</v>
      </c>
      <c r="AX558" s="28">
        <v>0</v>
      </c>
      <c r="BA558" s="28">
        <v>4.4999999999999998E-2</v>
      </c>
    </row>
    <row r="559" spans="1:53" s="28" customFormat="1" ht="21" x14ac:dyDescent="0.35">
      <c r="A559" s="1"/>
      <c r="B559" s="2"/>
      <c r="C559" s="2"/>
      <c r="D559" s="2"/>
      <c r="E559" s="2"/>
      <c r="F559" s="2"/>
      <c r="G559" s="2"/>
      <c r="H559" s="2"/>
      <c r="I559" s="40">
        <v>33180</v>
      </c>
      <c r="J559" s="39">
        <v>0.76207272749999999</v>
      </c>
      <c r="K559" s="28">
        <v>0.48</v>
      </c>
      <c r="N559" s="28">
        <v>0.68</v>
      </c>
      <c r="Q559" s="28">
        <v>0.45</v>
      </c>
      <c r="T559" s="28">
        <v>0.44</v>
      </c>
      <c r="W559" s="28">
        <v>0</v>
      </c>
      <c r="Z559" s="28">
        <v>0.01</v>
      </c>
      <c r="AC559" s="28">
        <v>0.625</v>
      </c>
      <c r="AF559" s="28">
        <v>0.41</v>
      </c>
      <c r="AI559" s="28">
        <v>0.37</v>
      </c>
      <c r="AL559" s="28">
        <v>0.61</v>
      </c>
      <c r="AO559" s="28">
        <v>0.36</v>
      </c>
      <c r="AR559" s="28">
        <v>0.36</v>
      </c>
      <c r="AU559" s="28">
        <v>0.39500000000000002</v>
      </c>
      <c r="AX559" s="28">
        <v>0</v>
      </c>
      <c r="BA559" s="28">
        <v>3.5000000000000003E-2</v>
      </c>
    </row>
    <row r="560" spans="1:53" s="28" customFormat="1" ht="21" x14ac:dyDescent="0.35">
      <c r="A560" s="1"/>
      <c r="B560" s="2"/>
      <c r="C560" s="2"/>
      <c r="D560" s="2"/>
      <c r="E560" s="2"/>
      <c r="F560" s="2"/>
      <c r="G560" s="2"/>
      <c r="H560" s="2"/>
      <c r="I560" s="40">
        <v>33240</v>
      </c>
      <c r="J560" s="39">
        <v>0.75756060650000001</v>
      </c>
      <c r="K560" s="28">
        <v>0.47499999999999998</v>
      </c>
      <c r="N560" s="28">
        <v>0.68</v>
      </c>
      <c r="Q560" s="28">
        <v>0.45</v>
      </c>
      <c r="T560" s="28">
        <v>0.435</v>
      </c>
      <c r="W560" s="28">
        <v>0</v>
      </c>
      <c r="Z560" s="28">
        <v>0.01</v>
      </c>
      <c r="AC560" s="28">
        <v>0.62</v>
      </c>
      <c r="AF560" s="28">
        <v>0.4</v>
      </c>
      <c r="AI560" s="28">
        <v>0.36</v>
      </c>
      <c r="AL560" s="28">
        <v>0.60499999999999998</v>
      </c>
      <c r="AO560" s="28">
        <v>0.35</v>
      </c>
      <c r="AR560" s="28">
        <v>0.35499999999999998</v>
      </c>
      <c r="AU560" s="28">
        <v>0.38500000000000001</v>
      </c>
      <c r="AX560" s="28">
        <v>0</v>
      </c>
      <c r="BA560" s="28">
        <v>2.5000000000000001E-2</v>
      </c>
    </row>
    <row r="561" spans="1:53" s="28" customFormat="1" ht="21" x14ac:dyDescent="0.35">
      <c r="A561" s="1"/>
      <c r="B561" s="2"/>
      <c r="C561" s="2"/>
      <c r="D561" s="2"/>
      <c r="E561" s="2"/>
      <c r="F561" s="2"/>
      <c r="G561" s="2"/>
      <c r="H561" s="2"/>
      <c r="I561" s="40">
        <v>33300</v>
      </c>
      <c r="J561" s="39">
        <v>0.75279393949999995</v>
      </c>
      <c r="K561" s="28">
        <v>0.47</v>
      </c>
      <c r="N561" s="28">
        <v>0.68</v>
      </c>
      <c r="Q561" s="28">
        <v>0.44500000000000001</v>
      </c>
      <c r="T561" s="28">
        <v>0.43</v>
      </c>
      <c r="W561" s="28">
        <v>0</v>
      </c>
      <c r="Z561" s="28">
        <v>0</v>
      </c>
      <c r="AC561" s="28">
        <v>0.61499999999999999</v>
      </c>
      <c r="AF561" s="28">
        <v>0.4</v>
      </c>
      <c r="AI561" s="28">
        <v>0.36</v>
      </c>
      <c r="AL561" s="28">
        <v>0.6</v>
      </c>
      <c r="AO561" s="28">
        <v>0.34499999999999997</v>
      </c>
      <c r="AR561" s="28">
        <v>0.35</v>
      </c>
      <c r="AU561" s="28">
        <v>0.38</v>
      </c>
      <c r="AX561" s="28">
        <v>0</v>
      </c>
      <c r="BA561" s="28">
        <v>0.02</v>
      </c>
    </row>
    <row r="562" spans="1:53" s="28" customFormat="1" ht="21" x14ac:dyDescent="0.35">
      <c r="A562" s="1"/>
      <c r="B562" s="2"/>
      <c r="C562" s="2"/>
      <c r="D562" s="2"/>
      <c r="E562" s="2"/>
      <c r="F562" s="2"/>
      <c r="G562" s="2"/>
      <c r="H562" s="2"/>
      <c r="I562" s="40">
        <v>33360</v>
      </c>
      <c r="J562" s="39">
        <v>0.74791515149999999</v>
      </c>
      <c r="K562" s="28">
        <v>0.47</v>
      </c>
      <c r="N562" s="28">
        <v>0.67</v>
      </c>
      <c r="Q562" s="28">
        <v>0.44</v>
      </c>
      <c r="T562" s="28">
        <v>0.43</v>
      </c>
      <c r="W562" s="28">
        <v>0</v>
      </c>
      <c r="Z562" s="28">
        <v>0</v>
      </c>
      <c r="AC562" s="28">
        <v>0.61</v>
      </c>
      <c r="AF562" s="28">
        <v>0.39</v>
      </c>
      <c r="AI562" s="28">
        <v>0.35499999999999998</v>
      </c>
      <c r="AL562" s="28">
        <v>0.59</v>
      </c>
      <c r="AO562" s="28">
        <v>0.34</v>
      </c>
      <c r="AR562" s="28">
        <v>0.34</v>
      </c>
      <c r="AU562" s="28">
        <v>0.37</v>
      </c>
      <c r="AX562" s="28">
        <v>0</v>
      </c>
      <c r="BA562" s="28">
        <v>0.01</v>
      </c>
    </row>
    <row r="563" spans="1:53" s="28" customFormat="1" ht="21" x14ac:dyDescent="0.35">
      <c r="A563" s="1"/>
      <c r="B563" s="2"/>
      <c r="C563" s="2"/>
      <c r="D563" s="2"/>
      <c r="E563" s="2"/>
      <c r="F563" s="2"/>
      <c r="G563" s="2"/>
      <c r="H563" s="2"/>
      <c r="I563" s="40">
        <v>33420</v>
      </c>
      <c r="J563" s="39">
        <v>0.74225757550000004</v>
      </c>
      <c r="K563" s="28">
        <v>0.47</v>
      </c>
      <c r="N563" s="28">
        <v>0.67</v>
      </c>
      <c r="Q563" s="28">
        <v>0.44</v>
      </c>
      <c r="T563" s="28">
        <v>0.43</v>
      </c>
      <c r="W563" s="28">
        <v>0</v>
      </c>
      <c r="Z563" s="28">
        <v>0</v>
      </c>
      <c r="AC563" s="28">
        <v>0.61</v>
      </c>
      <c r="AF563" s="28">
        <v>0.39</v>
      </c>
      <c r="AI563" s="28">
        <v>0.35</v>
      </c>
      <c r="AL563" s="28">
        <v>0.58499999999999996</v>
      </c>
      <c r="AO563" s="28">
        <v>0.33</v>
      </c>
      <c r="AR563" s="28">
        <v>0.33500000000000002</v>
      </c>
      <c r="AU563" s="28">
        <v>0.36</v>
      </c>
      <c r="AX563" s="28">
        <v>0</v>
      </c>
      <c r="BA563" s="28">
        <v>0.01</v>
      </c>
    </row>
    <row r="564" spans="1:53" s="28" customFormat="1" ht="21" x14ac:dyDescent="0.35">
      <c r="A564" s="1"/>
      <c r="B564" s="2"/>
      <c r="C564" s="2"/>
      <c r="D564" s="2"/>
      <c r="E564" s="2"/>
      <c r="F564" s="2"/>
      <c r="G564" s="2"/>
      <c r="H564" s="2"/>
      <c r="I564" s="40">
        <v>33480</v>
      </c>
      <c r="J564" s="39">
        <v>0.73880303000000003</v>
      </c>
      <c r="K564" s="28">
        <v>0.47</v>
      </c>
      <c r="N564" s="28">
        <v>0.67</v>
      </c>
      <c r="Q564" s="28">
        <v>0.44</v>
      </c>
      <c r="T564" s="28">
        <v>0.42</v>
      </c>
      <c r="W564" s="28">
        <v>0</v>
      </c>
      <c r="Z564" s="28">
        <v>0</v>
      </c>
      <c r="AC564" s="28">
        <v>0.6</v>
      </c>
      <c r="AF564" s="28">
        <v>0.38500000000000001</v>
      </c>
      <c r="AI564" s="28">
        <v>0.34499999999999997</v>
      </c>
      <c r="AL564" s="28">
        <v>0.57999999999999996</v>
      </c>
      <c r="AO564" s="28">
        <v>0.32500000000000001</v>
      </c>
      <c r="AR564" s="28">
        <v>0.33</v>
      </c>
      <c r="AU564" s="28">
        <v>0.35</v>
      </c>
      <c r="AX564" s="28">
        <v>0</v>
      </c>
      <c r="BA564" s="28">
        <v>0</v>
      </c>
    </row>
    <row r="565" spans="1:53" s="28" customFormat="1" ht="21" x14ac:dyDescent="0.35">
      <c r="A565" s="1"/>
      <c r="B565" s="2"/>
      <c r="C565" s="2"/>
      <c r="D565" s="2"/>
      <c r="E565" s="2"/>
      <c r="F565" s="2"/>
      <c r="G565" s="2"/>
      <c r="H565" s="2"/>
      <c r="I565" s="40">
        <v>33540</v>
      </c>
      <c r="J565" s="39">
        <v>0.73184848449999995</v>
      </c>
      <c r="K565" s="28">
        <v>0.47</v>
      </c>
      <c r="N565" s="28">
        <v>0.66500000000000004</v>
      </c>
      <c r="Q565" s="28">
        <v>0.43</v>
      </c>
      <c r="T565" s="28">
        <v>0.42</v>
      </c>
      <c r="W565" s="28">
        <v>0</v>
      </c>
      <c r="Z565" s="28">
        <v>0</v>
      </c>
      <c r="AC565" s="28">
        <v>0.6</v>
      </c>
      <c r="AF565" s="28">
        <v>0.38</v>
      </c>
      <c r="AI565" s="28">
        <v>0.34</v>
      </c>
      <c r="AL565" s="28">
        <v>0.56999999999999995</v>
      </c>
      <c r="AO565" s="28">
        <v>0.315</v>
      </c>
      <c r="AR565" s="28">
        <v>0.32</v>
      </c>
      <c r="AU565" s="28">
        <v>0.34499999999999997</v>
      </c>
      <c r="AX565" s="28">
        <v>0</v>
      </c>
      <c r="BA565" s="28">
        <v>0</v>
      </c>
    </row>
    <row r="566" spans="1:53" s="28" customFormat="1" ht="21" x14ac:dyDescent="0.35">
      <c r="A566" s="1"/>
      <c r="B566" s="2"/>
      <c r="C566" s="2"/>
      <c r="D566" s="2"/>
      <c r="E566" s="2"/>
      <c r="F566" s="2"/>
      <c r="G566" s="2"/>
      <c r="H566" s="2"/>
      <c r="I566" s="40">
        <v>33600</v>
      </c>
      <c r="J566" s="39">
        <v>0.72501515149999995</v>
      </c>
      <c r="K566" s="28">
        <v>0.47</v>
      </c>
      <c r="N566" s="28">
        <v>0.66</v>
      </c>
      <c r="Q566" s="28">
        <v>0.43</v>
      </c>
      <c r="T566" s="28">
        <v>0.42</v>
      </c>
      <c r="W566" s="28">
        <v>0</v>
      </c>
      <c r="Z566" s="28">
        <v>0</v>
      </c>
      <c r="AC566" s="28">
        <v>0.59</v>
      </c>
      <c r="AF566" s="28">
        <v>0.375</v>
      </c>
      <c r="AI566" s="28">
        <v>0.33500000000000002</v>
      </c>
      <c r="AL566" s="28">
        <v>0.56499999999999995</v>
      </c>
      <c r="AO566" s="28">
        <v>0.31</v>
      </c>
      <c r="AR566" s="28">
        <v>0.315</v>
      </c>
      <c r="AU566" s="28">
        <v>0.33500000000000002</v>
      </c>
      <c r="AX566" s="28">
        <v>0</v>
      </c>
      <c r="BA566" s="28">
        <v>0</v>
      </c>
    </row>
    <row r="567" spans="1:53" s="28" customFormat="1" ht="21" x14ac:dyDescent="0.35">
      <c r="A567" s="1"/>
      <c r="B567" s="2"/>
      <c r="C567" s="2"/>
      <c r="D567" s="2"/>
      <c r="E567" s="2"/>
      <c r="F567" s="2"/>
      <c r="G567" s="2"/>
      <c r="H567" s="2"/>
      <c r="I567" s="40">
        <v>33660</v>
      </c>
      <c r="J567" s="39">
        <v>0.72339393949999997</v>
      </c>
      <c r="K567" s="28">
        <v>0.47</v>
      </c>
      <c r="N567" s="28">
        <v>0.66</v>
      </c>
      <c r="Q567" s="28">
        <v>0.42499999999999999</v>
      </c>
      <c r="T567" s="28">
        <v>0.41</v>
      </c>
      <c r="W567" s="28">
        <v>0</v>
      </c>
      <c r="Z567" s="28">
        <v>0</v>
      </c>
      <c r="AC567" s="28">
        <v>0.59</v>
      </c>
      <c r="AF567" s="28">
        <v>0.37</v>
      </c>
      <c r="AI567" s="28">
        <v>0.33</v>
      </c>
      <c r="AL567" s="28">
        <v>0.55500000000000005</v>
      </c>
      <c r="AO567" s="28">
        <v>0.3</v>
      </c>
      <c r="AR567" s="28">
        <v>0.30499999999999999</v>
      </c>
      <c r="AU567" s="28">
        <v>0.32500000000000001</v>
      </c>
      <c r="AX567" s="28">
        <v>0</v>
      </c>
      <c r="BA567" s="28">
        <v>0</v>
      </c>
    </row>
    <row r="568" spans="1:53" s="28" customFormat="1" ht="21" x14ac:dyDescent="0.35">
      <c r="A568" s="1"/>
      <c r="B568" s="2"/>
      <c r="C568" s="2"/>
      <c r="D568" s="2"/>
      <c r="E568" s="2"/>
      <c r="F568" s="2"/>
      <c r="G568" s="2"/>
      <c r="H568" s="2"/>
      <c r="I568" s="40">
        <v>33720</v>
      </c>
      <c r="J568" s="39">
        <v>0.71951515150000001</v>
      </c>
      <c r="K568" s="28">
        <v>0.46500000000000002</v>
      </c>
      <c r="N568" s="28">
        <v>0.65</v>
      </c>
      <c r="Q568" s="28">
        <v>0.42</v>
      </c>
      <c r="T568" s="28">
        <v>0.41</v>
      </c>
      <c r="W568" s="28">
        <v>0</v>
      </c>
      <c r="Z568" s="28">
        <v>0</v>
      </c>
      <c r="AC568" s="28">
        <v>0.57999999999999996</v>
      </c>
      <c r="AF568" s="28">
        <v>0.36499999999999999</v>
      </c>
      <c r="AI568" s="28">
        <v>0.32500000000000001</v>
      </c>
      <c r="AL568" s="28">
        <v>0.55000000000000004</v>
      </c>
      <c r="AO568" s="28">
        <v>0.28999999999999998</v>
      </c>
      <c r="AR568" s="28">
        <v>0.3</v>
      </c>
      <c r="AU568" s="28">
        <v>0.32</v>
      </c>
      <c r="AX568" s="28">
        <v>0</v>
      </c>
      <c r="BA568" s="28">
        <v>0</v>
      </c>
    </row>
    <row r="569" spans="1:53" s="28" customFormat="1" ht="21" x14ac:dyDescent="0.35">
      <c r="A569" s="1"/>
      <c r="B569" s="2"/>
      <c r="C569" s="2"/>
      <c r="D569" s="2"/>
      <c r="E569" s="2"/>
      <c r="F569" s="2"/>
      <c r="G569" s="2"/>
      <c r="H569" s="2"/>
      <c r="I569" s="40">
        <v>33780</v>
      </c>
      <c r="J569" s="39">
        <v>0.71460000000000001</v>
      </c>
      <c r="K569" s="28">
        <v>0.46</v>
      </c>
      <c r="N569" s="28">
        <v>0.65</v>
      </c>
      <c r="Q569" s="28">
        <v>0.42</v>
      </c>
      <c r="T569" s="28">
        <v>0.40500000000000003</v>
      </c>
      <c r="W569" s="28">
        <v>0</v>
      </c>
      <c r="Z569" s="28">
        <v>0</v>
      </c>
      <c r="AC569" s="28">
        <v>0.57999999999999996</v>
      </c>
      <c r="AF569" s="28">
        <v>0.36</v>
      </c>
      <c r="AI569" s="28">
        <v>0.32</v>
      </c>
      <c r="AL569" s="28">
        <v>0.54</v>
      </c>
      <c r="AO569" s="28">
        <v>0.28499999999999998</v>
      </c>
      <c r="AR569" s="28">
        <v>0.28999999999999998</v>
      </c>
      <c r="AU569" s="28">
        <v>0.31</v>
      </c>
      <c r="AX569" s="28">
        <v>0</v>
      </c>
      <c r="BA569" s="28">
        <v>0</v>
      </c>
    </row>
    <row r="570" spans="1:53" s="28" customFormat="1" ht="21" x14ac:dyDescent="0.35">
      <c r="A570" s="1"/>
      <c r="B570" s="2"/>
      <c r="C570" s="2"/>
      <c r="D570" s="2"/>
      <c r="E570" s="2"/>
      <c r="F570" s="2"/>
      <c r="G570" s="2"/>
      <c r="H570" s="2"/>
      <c r="I570" s="40">
        <v>33840</v>
      </c>
      <c r="J570" s="39">
        <v>0.71003939400000005</v>
      </c>
      <c r="K570" s="28">
        <v>0.46</v>
      </c>
      <c r="N570" s="28">
        <v>0.64500000000000002</v>
      </c>
      <c r="Q570" s="28">
        <v>0.41</v>
      </c>
      <c r="T570" s="28">
        <v>0.4</v>
      </c>
      <c r="W570" s="28">
        <v>0</v>
      </c>
      <c r="Z570" s="28">
        <v>0</v>
      </c>
      <c r="AC570" s="28">
        <v>0.56999999999999995</v>
      </c>
      <c r="AF570" s="28">
        <v>0.35</v>
      </c>
      <c r="AI570" s="28">
        <v>0.315</v>
      </c>
      <c r="AL570" s="28">
        <v>0.53</v>
      </c>
      <c r="AO570" s="28">
        <v>0.27500000000000002</v>
      </c>
      <c r="AR570" s="28">
        <v>0.28000000000000003</v>
      </c>
      <c r="AU570" s="28">
        <v>0.3</v>
      </c>
      <c r="AX570" s="28">
        <v>0</v>
      </c>
      <c r="BA570" s="28">
        <v>0</v>
      </c>
    </row>
    <row r="571" spans="1:53" s="28" customFormat="1" ht="21" x14ac:dyDescent="0.35">
      <c r="A571" s="1"/>
      <c r="B571" s="2"/>
      <c r="C571" s="2"/>
      <c r="D571" s="2"/>
      <c r="E571" s="2"/>
      <c r="F571" s="2"/>
      <c r="G571" s="2"/>
      <c r="H571" s="2"/>
      <c r="I571" s="40">
        <v>33900</v>
      </c>
      <c r="J571" s="39">
        <v>0.7062545455</v>
      </c>
      <c r="K571" s="28">
        <v>0.46</v>
      </c>
      <c r="N571" s="28">
        <v>0.64</v>
      </c>
      <c r="Q571" s="28">
        <v>0.41</v>
      </c>
      <c r="T571" s="28">
        <v>0.4</v>
      </c>
      <c r="W571" s="28">
        <v>0</v>
      </c>
      <c r="Z571" s="28">
        <v>0</v>
      </c>
      <c r="AC571" s="28">
        <v>0.56999999999999995</v>
      </c>
      <c r="AF571" s="28">
        <v>0.35</v>
      </c>
      <c r="AI571" s="28">
        <v>0.31</v>
      </c>
      <c r="AL571" s="28">
        <v>0.52500000000000002</v>
      </c>
      <c r="AO571" s="28">
        <v>0.27</v>
      </c>
      <c r="AR571" s="28">
        <v>0.27500000000000002</v>
      </c>
      <c r="AU571" s="28">
        <v>0.28999999999999998</v>
      </c>
      <c r="AX571" s="28">
        <v>0</v>
      </c>
      <c r="BA571" s="28">
        <v>0</v>
      </c>
    </row>
    <row r="572" spans="1:53" s="28" customFormat="1" ht="21" x14ac:dyDescent="0.35">
      <c r="A572" s="1"/>
      <c r="B572" s="2"/>
      <c r="C572" s="2"/>
      <c r="D572" s="2"/>
      <c r="E572" s="2"/>
      <c r="F572" s="2"/>
      <c r="G572" s="2"/>
      <c r="H572" s="2"/>
      <c r="I572" s="40">
        <v>33960</v>
      </c>
      <c r="J572" s="39">
        <v>0.70026363599999997</v>
      </c>
      <c r="K572" s="28">
        <v>0.46</v>
      </c>
      <c r="N572" s="28">
        <v>0.64</v>
      </c>
      <c r="Q572" s="28">
        <v>0.40500000000000003</v>
      </c>
      <c r="T572" s="28">
        <v>0.39</v>
      </c>
      <c r="W572" s="28">
        <v>0</v>
      </c>
      <c r="Z572" s="28">
        <v>0</v>
      </c>
      <c r="AC572" s="28">
        <v>0.56000000000000005</v>
      </c>
      <c r="AF572" s="28">
        <v>0.34</v>
      </c>
      <c r="AI572" s="28">
        <v>0.30499999999999999</v>
      </c>
      <c r="AL572" s="28">
        <v>0.51500000000000001</v>
      </c>
      <c r="AO572" s="28">
        <v>0.26</v>
      </c>
      <c r="AR572" s="28">
        <v>0.26500000000000001</v>
      </c>
      <c r="AU572" s="28">
        <v>0.28499999999999998</v>
      </c>
      <c r="AX572" s="28">
        <v>0</v>
      </c>
      <c r="BA572" s="28">
        <v>0</v>
      </c>
    </row>
    <row r="573" spans="1:53" s="28" customFormat="1" ht="21" x14ac:dyDescent="0.35">
      <c r="A573" s="1"/>
      <c r="B573" s="2"/>
      <c r="C573" s="2"/>
      <c r="D573" s="2"/>
      <c r="E573" s="2"/>
      <c r="F573" s="2"/>
      <c r="G573" s="2"/>
      <c r="H573" s="2"/>
      <c r="I573" s="40">
        <v>34020</v>
      </c>
      <c r="J573" s="39">
        <v>0.69627272699999998</v>
      </c>
      <c r="K573" s="28">
        <v>0.46</v>
      </c>
      <c r="N573" s="28">
        <v>0.63</v>
      </c>
      <c r="Q573" s="28">
        <v>0.4</v>
      </c>
      <c r="T573" s="28">
        <v>0.39</v>
      </c>
      <c r="W573" s="28">
        <v>0</v>
      </c>
      <c r="Z573" s="28">
        <v>0</v>
      </c>
      <c r="AC573" s="28">
        <v>0.55500000000000005</v>
      </c>
      <c r="AF573" s="28">
        <v>0.34</v>
      </c>
      <c r="AI573" s="28">
        <v>0.3</v>
      </c>
      <c r="AL573" s="28">
        <v>0.51</v>
      </c>
      <c r="AO573" s="28">
        <v>0.25</v>
      </c>
      <c r="AR573" s="28">
        <v>0.26</v>
      </c>
      <c r="AU573" s="28">
        <v>0.27500000000000002</v>
      </c>
      <c r="AX573" s="28">
        <v>0</v>
      </c>
      <c r="BA573" s="28">
        <v>0</v>
      </c>
    </row>
    <row r="574" spans="1:53" s="28" customFormat="1" ht="21" x14ac:dyDescent="0.35">
      <c r="A574" s="1"/>
      <c r="B574" s="2"/>
      <c r="C574" s="2"/>
      <c r="D574" s="2"/>
      <c r="E574" s="2"/>
      <c r="F574" s="2"/>
      <c r="G574" s="2"/>
      <c r="H574" s="2"/>
      <c r="I574" s="40">
        <v>34080</v>
      </c>
      <c r="J574" s="39">
        <v>0.69119393949999997</v>
      </c>
      <c r="K574" s="28">
        <v>0.46</v>
      </c>
      <c r="N574" s="28">
        <v>0.63</v>
      </c>
      <c r="Q574" s="28">
        <v>0.4</v>
      </c>
      <c r="T574" s="28">
        <v>0.38500000000000001</v>
      </c>
      <c r="W574" s="28">
        <v>0</v>
      </c>
      <c r="Z574" s="28">
        <v>0</v>
      </c>
      <c r="AC574" s="28">
        <v>0.55000000000000004</v>
      </c>
      <c r="AF574" s="28">
        <v>0.33</v>
      </c>
      <c r="AI574" s="28">
        <v>0.29499999999999998</v>
      </c>
      <c r="AL574" s="28">
        <v>0.5</v>
      </c>
      <c r="AO574" s="28">
        <v>0.245</v>
      </c>
      <c r="AR574" s="28">
        <v>0.25</v>
      </c>
      <c r="AU574" s="28">
        <v>0.26500000000000001</v>
      </c>
      <c r="AX574" s="28">
        <v>0</v>
      </c>
      <c r="BA574" s="28">
        <v>0</v>
      </c>
    </row>
    <row r="575" spans="1:53" s="28" customFormat="1" ht="21" x14ac:dyDescent="0.35">
      <c r="A575" s="1"/>
      <c r="B575" s="2"/>
      <c r="C575" s="2"/>
      <c r="D575" s="2"/>
      <c r="E575" s="2"/>
      <c r="F575" s="2"/>
      <c r="G575" s="2"/>
      <c r="H575" s="2"/>
      <c r="I575" s="40">
        <v>34140</v>
      </c>
      <c r="J575" s="39">
        <v>0.68566363649999995</v>
      </c>
      <c r="K575" s="28">
        <v>0.45500000000000002</v>
      </c>
      <c r="N575" s="28">
        <v>0.625</v>
      </c>
      <c r="Q575" s="28">
        <v>0.39</v>
      </c>
      <c r="T575" s="28">
        <v>0.38</v>
      </c>
      <c r="W575" s="28">
        <v>0</v>
      </c>
      <c r="Z575" s="28">
        <v>0</v>
      </c>
      <c r="AC575" s="28">
        <v>0.54500000000000004</v>
      </c>
      <c r="AF575" s="28">
        <v>0.33</v>
      </c>
      <c r="AI575" s="28">
        <v>0.28999999999999998</v>
      </c>
      <c r="AL575" s="28">
        <v>0.495</v>
      </c>
      <c r="AO575" s="28">
        <v>0.23499999999999999</v>
      </c>
      <c r="AR575" s="28">
        <v>0.24</v>
      </c>
      <c r="AU575" s="28">
        <v>0.255</v>
      </c>
      <c r="AX575" s="28">
        <v>0</v>
      </c>
      <c r="BA575" s="28">
        <v>0</v>
      </c>
    </row>
    <row r="576" spans="1:53" s="28" customFormat="1" ht="21" x14ac:dyDescent="0.35">
      <c r="A576" s="1"/>
      <c r="B576" s="2"/>
      <c r="C576" s="2"/>
      <c r="D576" s="2"/>
      <c r="E576" s="2"/>
      <c r="F576" s="2"/>
      <c r="G576" s="2"/>
      <c r="H576" s="2"/>
      <c r="I576" s="40">
        <v>34200</v>
      </c>
      <c r="J576" s="39">
        <v>0.68122424250000002</v>
      </c>
      <c r="K576" s="28">
        <v>0.45</v>
      </c>
      <c r="N576" s="28">
        <v>0.62</v>
      </c>
      <c r="Q576" s="28">
        <v>0.39</v>
      </c>
      <c r="T576" s="28">
        <v>0.38</v>
      </c>
      <c r="W576" s="28">
        <v>0</v>
      </c>
      <c r="Z576" s="28">
        <v>0</v>
      </c>
      <c r="AC576" s="28">
        <v>0.54</v>
      </c>
      <c r="AF576" s="28">
        <v>0.32</v>
      </c>
      <c r="AI576" s="28">
        <v>0.28499999999999998</v>
      </c>
      <c r="AL576" s="28">
        <v>0.48499999999999999</v>
      </c>
      <c r="AO576" s="28">
        <v>0.23</v>
      </c>
      <c r="AR576" s="28">
        <v>0.23499999999999999</v>
      </c>
      <c r="AU576" s="28">
        <v>0.25</v>
      </c>
      <c r="AX576" s="28">
        <v>0</v>
      </c>
      <c r="BA576" s="28">
        <v>0</v>
      </c>
    </row>
    <row r="577" spans="1:53" s="28" customFormat="1" ht="21" x14ac:dyDescent="0.35">
      <c r="A577" s="1"/>
      <c r="B577" s="2"/>
      <c r="C577" s="2"/>
      <c r="D577" s="2"/>
      <c r="E577" s="2"/>
      <c r="F577" s="2"/>
      <c r="G577" s="2"/>
      <c r="H577" s="2"/>
      <c r="I577" s="40">
        <v>34260</v>
      </c>
      <c r="J577" s="39">
        <v>0.67724242450000005</v>
      </c>
      <c r="K577" s="28">
        <v>0.45</v>
      </c>
      <c r="N577" s="28">
        <v>0.62</v>
      </c>
      <c r="Q577" s="28">
        <v>0.38500000000000001</v>
      </c>
      <c r="T577" s="28">
        <v>0.37</v>
      </c>
      <c r="W577" s="28">
        <v>0</v>
      </c>
      <c r="Z577" s="28">
        <v>0</v>
      </c>
      <c r="AC577" s="28">
        <v>0.53500000000000003</v>
      </c>
      <c r="AF577" s="28">
        <v>0.315</v>
      </c>
      <c r="AI577" s="28">
        <v>0.28000000000000003</v>
      </c>
      <c r="AL577" s="28">
        <v>0.47499999999999998</v>
      </c>
      <c r="AO577" s="28">
        <v>0.22</v>
      </c>
      <c r="AR577" s="28">
        <v>0.22500000000000001</v>
      </c>
      <c r="AU577" s="28">
        <v>0.24</v>
      </c>
      <c r="AX577" s="28">
        <v>0</v>
      </c>
      <c r="BA577" s="28">
        <v>0</v>
      </c>
    </row>
    <row r="578" spans="1:53" s="28" customFormat="1" ht="21" x14ac:dyDescent="0.35">
      <c r="A578" s="1"/>
      <c r="B578" s="2"/>
      <c r="C578" s="2"/>
      <c r="D578" s="2"/>
      <c r="E578" s="2"/>
      <c r="F578" s="2"/>
      <c r="G578" s="2"/>
      <c r="H578" s="2"/>
      <c r="I578" s="40">
        <v>34320</v>
      </c>
      <c r="J578" s="39">
        <v>0.67281515150000004</v>
      </c>
      <c r="K578" s="28">
        <v>0.45</v>
      </c>
      <c r="N578" s="28">
        <v>0.61</v>
      </c>
      <c r="Q578" s="28">
        <v>0.38</v>
      </c>
      <c r="T578" s="28">
        <v>0.37</v>
      </c>
      <c r="W578" s="28">
        <v>0</v>
      </c>
      <c r="Z578" s="28">
        <v>0</v>
      </c>
      <c r="AC578" s="28">
        <v>0.53</v>
      </c>
      <c r="AF578" s="28">
        <v>0.31</v>
      </c>
      <c r="AI578" s="28">
        <v>0.27</v>
      </c>
      <c r="AL578" s="28">
        <v>0.47</v>
      </c>
      <c r="AO578" s="28">
        <v>0.21</v>
      </c>
      <c r="AR578" s="28">
        <v>0.215</v>
      </c>
      <c r="AU578" s="28">
        <v>0.23</v>
      </c>
      <c r="AX578" s="28">
        <v>0</v>
      </c>
      <c r="BA578" s="28">
        <v>0</v>
      </c>
    </row>
    <row r="579" spans="1:53" s="28" customFormat="1" ht="21" x14ac:dyDescent="0.35">
      <c r="A579" s="1"/>
      <c r="B579" s="2"/>
      <c r="C579" s="2"/>
      <c r="D579" s="2"/>
      <c r="E579" s="2"/>
      <c r="F579" s="2"/>
      <c r="G579" s="2"/>
      <c r="H579" s="2"/>
      <c r="I579" s="40">
        <v>34380</v>
      </c>
      <c r="J579" s="39">
        <v>0.66678787849999999</v>
      </c>
      <c r="K579" s="28">
        <v>0.45</v>
      </c>
      <c r="N579" s="28">
        <v>0.61</v>
      </c>
      <c r="Q579" s="28">
        <v>0.375</v>
      </c>
      <c r="T579" s="28">
        <v>0.36</v>
      </c>
      <c r="W579" s="28">
        <v>0</v>
      </c>
      <c r="Z579" s="28">
        <v>0</v>
      </c>
      <c r="AC579" s="28">
        <v>0.52</v>
      </c>
      <c r="AF579" s="28">
        <v>0.30499999999999999</v>
      </c>
      <c r="AI579" s="28">
        <v>0.27</v>
      </c>
      <c r="AL579" s="28">
        <v>0.46</v>
      </c>
      <c r="AO579" s="28">
        <v>0.20499999999999999</v>
      </c>
      <c r="AR579" s="28">
        <v>0.21</v>
      </c>
      <c r="AU579" s="28">
        <v>0.22</v>
      </c>
      <c r="AX579" s="28">
        <v>0</v>
      </c>
      <c r="BA579" s="28">
        <v>0</v>
      </c>
    </row>
    <row r="580" spans="1:53" s="28" customFormat="1" ht="21" x14ac:dyDescent="0.35">
      <c r="A580" s="1"/>
      <c r="B580" s="2"/>
      <c r="C580" s="2"/>
      <c r="D580" s="2"/>
      <c r="E580" s="2"/>
      <c r="F580" s="2"/>
      <c r="G580" s="2"/>
      <c r="H580" s="2"/>
      <c r="I580" s="40">
        <v>34440</v>
      </c>
      <c r="J580" s="39">
        <v>0.66149696999999996</v>
      </c>
      <c r="K580" s="28">
        <v>0.45</v>
      </c>
      <c r="N580" s="28">
        <v>0.60499999999999998</v>
      </c>
      <c r="Q580" s="28">
        <v>0.37</v>
      </c>
      <c r="T580" s="28">
        <v>0.36</v>
      </c>
      <c r="W580" s="28">
        <v>0</v>
      </c>
      <c r="Z580" s="28">
        <v>0</v>
      </c>
      <c r="AC580" s="28">
        <v>0.52</v>
      </c>
      <c r="AF580" s="28">
        <v>0.3</v>
      </c>
      <c r="AI580" s="28">
        <v>0.26</v>
      </c>
      <c r="AL580" s="28">
        <v>0.45</v>
      </c>
      <c r="AO580" s="28">
        <v>0.19500000000000001</v>
      </c>
      <c r="AR580" s="28">
        <v>0.2</v>
      </c>
      <c r="AU580" s="28">
        <v>0.21</v>
      </c>
      <c r="AX580" s="28">
        <v>0</v>
      </c>
      <c r="BA580" s="28">
        <v>0</v>
      </c>
    </row>
    <row r="581" spans="1:53" s="28" customFormat="1" ht="21" x14ac:dyDescent="0.35">
      <c r="A581" s="1"/>
      <c r="B581" s="2"/>
      <c r="C581" s="2"/>
      <c r="D581" s="2"/>
      <c r="E581" s="2"/>
      <c r="F581" s="2"/>
      <c r="G581" s="2"/>
      <c r="H581" s="2"/>
      <c r="I581" s="40">
        <v>34500</v>
      </c>
      <c r="J581" s="39">
        <v>0.65701818150000002</v>
      </c>
      <c r="K581" s="28">
        <v>0.44</v>
      </c>
      <c r="N581" s="28">
        <v>0.6</v>
      </c>
      <c r="Q581" s="28">
        <v>0.36499999999999999</v>
      </c>
      <c r="T581" s="28">
        <v>0.35499999999999998</v>
      </c>
      <c r="W581" s="28">
        <v>0</v>
      </c>
      <c r="Z581" s="28">
        <v>0</v>
      </c>
      <c r="AC581" s="28">
        <v>0.51</v>
      </c>
      <c r="AF581" s="28">
        <v>0.29499999999999998</v>
      </c>
      <c r="AI581" s="28">
        <v>0.26</v>
      </c>
      <c r="AL581" s="28">
        <v>0.44</v>
      </c>
      <c r="AO581" s="28">
        <v>0.19</v>
      </c>
      <c r="AR581" s="28">
        <v>0.19</v>
      </c>
      <c r="AU581" s="28">
        <v>0.2</v>
      </c>
      <c r="AX581" s="28">
        <v>0</v>
      </c>
      <c r="BA581" s="28">
        <v>0</v>
      </c>
    </row>
    <row r="582" spans="1:53" s="28" customFormat="1" ht="21" x14ac:dyDescent="0.35">
      <c r="A582" s="1"/>
      <c r="B582" s="2"/>
      <c r="C582" s="2"/>
      <c r="D582" s="2"/>
      <c r="E582" s="2"/>
      <c r="F582" s="2"/>
      <c r="G582" s="2"/>
      <c r="H582" s="2"/>
      <c r="I582" s="40">
        <v>34560</v>
      </c>
      <c r="J582" s="39">
        <v>0.65236363649999995</v>
      </c>
      <c r="K582" s="28">
        <v>0.44</v>
      </c>
      <c r="N582" s="28">
        <v>0.59499999999999997</v>
      </c>
      <c r="Q582" s="28">
        <v>0.36</v>
      </c>
      <c r="T582" s="28">
        <v>0.35</v>
      </c>
      <c r="W582" s="28">
        <v>0</v>
      </c>
      <c r="Z582" s="28">
        <v>0</v>
      </c>
      <c r="AC582" s="28">
        <v>0.505</v>
      </c>
      <c r="AF582" s="28">
        <v>0.28999999999999998</v>
      </c>
      <c r="AI582" s="28">
        <v>0.25</v>
      </c>
      <c r="AL582" s="28">
        <v>0.435</v>
      </c>
      <c r="AO582" s="28">
        <v>0.18</v>
      </c>
      <c r="AR582" s="28">
        <v>0.18</v>
      </c>
      <c r="AU582" s="28">
        <v>0.19</v>
      </c>
      <c r="AX582" s="28">
        <v>0</v>
      </c>
      <c r="BA582" s="28">
        <v>0</v>
      </c>
    </row>
    <row r="583" spans="1:53" s="28" customFormat="1" ht="21" x14ac:dyDescent="0.35">
      <c r="A583" s="1"/>
      <c r="B583" s="2"/>
      <c r="C583" s="2"/>
      <c r="D583" s="2"/>
      <c r="E583" s="2"/>
      <c r="F583" s="2"/>
      <c r="G583" s="2"/>
      <c r="H583" s="2"/>
      <c r="I583" s="40">
        <v>34620</v>
      </c>
      <c r="J583" s="39">
        <v>0.64727878800000005</v>
      </c>
      <c r="K583" s="28">
        <v>0.44</v>
      </c>
      <c r="N583" s="28">
        <v>0.59</v>
      </c>
      <c r="Q583" s="28">
        <v>0.35499999999999998</v>
      </c>
      <c r="T583" s="28">
        <v>0.34499999999999997</v>
      </c>
      <c r="W583" s="28">
        <v>0</v>
      </c>
      <c r="Z583" s="28">
        <v>0</v>
      </c>
      <c r="AC583" s="28">
        <v>0.5</v>
      </c>
      <c r="AF583" s="28">
        <v>0.28000000000000003</v>
      </c>
      <c r="AI583" s="28">
        <v>0.245</v>
      </c>
      <c r="AL583" s="28">
        <v>0.42499999999999999</v>
      </c>
      <c r="AO583" s="28">
        <v>0.17</v>
      </c>
      <c r="AR583" s="28">
        <v>0.17</v>
      </c>
      <c r="AU583" s="28">
        <v>0.185</v>
      </c>
      <c r="AX583" s="28">
        <v>0</v>
      </c>
      <c r="BA583" s="28">
        <v>0</v>
      </c>
    </row>
    <row r="584" spans="1:53" s="28" customFormat="1" ht="21" x14ac:dyDescent="0.35">
      <c r="A584" s="1"/>
      <c r="B584" s="2"/>
      <c r="C584" s="2"/>
      <c r="D584" s="2"/>
      <c r="E584" s="2"/>
      <c r="F584" s="2"/>
      <c r="G584" s="2"/>
      <c r="H584" s="2"/>
      <c r="I584" s="40">
        <v>34680</v>
      </c>
      <c r="J584" s="39">
        <v>0.64307272699999996</v>
      </c>
      <c r="K584" s="28">
        <v>0.44</v>
      </c>
      <c r="N584" s="28">
        <v>0.59</v>
      </c>
      <c r="Q584" s="28">
        <v>0.35</v>
      </c>
      <c r="T584" s="28">
        <v>0.34</v>
      </c>
      <c r="W584" s="28">
        <v>0</v>
      </c>
      <c r="Z584" s="28">
        <v>0</v>
      </c>
      <c r="AC584" s="28">
        <v>0.495</v>
      </c>
      <c r="AF584" s="28">
        <v>0.28000000000000003</v>
      </c>
      <c r="AI584" s="28">
        <v>0.24</v>
      </c>
      <c r="AL584" s="28">
        <v>0.41499999999999998</v>
      </c>
      <c r="AO584" s="28">
        <v>0.16500000000000001</v>
      </c>
      <c r="AR584" s="28">
        <v>0.16500000000000001</v>
      </c>
      <c r="AU584" s="28">
        <v>0.17499999999999999</v>
      </c>
      <c r="AX584" s="28">
        <v>0</v>
      </c>
      <c r="BA584" s="28">
        <v>0</v>
      </c>
    </row>
    <row r="585" spans="1:53" s="28" customFormat="1" ht="21" x14ac:dyDescent="0.35">
      <c r="A585" s="1"/>
      <c r="B585" s="2"/>
      <c r="C585" s="2"/>
      <c r="D585" s="2"/>
      <c r="E585" s="2"/>
      <c r="F585" s="2"/>
      <c r="G585" s="2"/>
      <c r="H585" s="2"/>
      <c r="I585" s="40">
        <v>34740</v>
      </c>
      <c r="J585" s="39">
        <v>0.6389151515</v>
      </c>
      <c r="K585" s="28">
        <v>0.44</v>
      </c>
      <c r="N585" s="28">
        <v>0.57999999999999996</v>
      </c>
      <c r="Q585" s="28">
        <v>0.35</v>
      </c>
      <c r="T585" s="28">
        <v>0.34</v>
      </c>
      <c r="W585" s="28">
        <v>0</v>
      </c>
      <c r="Z585" s="28">
        <v>0</v>
      </c>
      <c r="AC585" s="28">
        <v>0.49</v>
      </c>
      <c r="AF585" s="28">
        <v>0.27</v>
      </c>
      <c r="AI585" s="28">
        <v>0.23499999999999999</v>
      </c>
      <c r="AL585" s="28">
        <v>0.40500000000000003</v>
      </c>
      <c r="AO585" s="28">
        <v>0.155</v>
      </c>
      <c r="AR585" s="28">
        <v>0.155</v>
      </c>
      <c r="AU585" s="28">
        <v>0.16500000000000001</v>
      </c>
      <c r="AX585" s="28">
        <v>0</v>
      </c>
      <c r="BA585" s="28">
        <v>5.0000000000000001E-3</v>
      </c>
    </row>
    <row r="586" spans="1:53" s="28" customFormat="1" ht="21" x14ac:dyDescent="0.35">
      <c r="A586" s="1"/>
      <c r="B586" s="2"/>
      <c r="C586" s="2"/>
      <c r="D586" s="2"/>
      <c r="E586" s="2"/>
      <c r="F586" s="2"/>
      <c r="G586" s="2"/>
      <c r="H586" s="2"/>
      <c r="I586" s="40">
        <v>34800</v>
      </c>
      <c r="J586" s="39">
        <v>0.63509090899999998</v>
      </c>
      <c r="K586" s="28">
        <v>0.44</v>
      </c>
      <c r="N586" s="28">
        <v>0.57999999999999996</v>
      </c>
      <c r="Q586" s="28">
        <v>0.34</v>
      </c>
      <c r="T586" s="28">
        <v>0.33</v>
      </c>
      <c r="W586" s="28">
        <v>0</v>
      </c>
      <c r="Z586" s="28">
        <v>0</v>
      </c>
      <c r="AC586" s="28">
        <v>0.48</v>
      </c>
      <c r="AF586" s="28">
        <v>0.26500000000000001</v>
      </c>
      <c r="AI586" s="28">
        <v>0.23</v>
      </c>
      <c r="AL586" s="28">
        <v>0.4</v>
      </c>
      <c r="AO586" s="28">
        <v>0.14499999999999999</v>
      </c>
      <c r="AR586" s="28">
        <v>0.14499999999999999</v>
      </c>
      <c r="AU586" s="28">
        <v>0.155</v>
      </c>
      <c r="AX586" s="28">
        <v>0</v>
      </c>
      <c r="BA586" s="28">
        <v>0.01</v>
      </c>
    </row>
    <row r="587" spans="1:53" s="28" customFormat="1" ht="21" x14ac:dyDescent="0.35">
      <c r="A587" s="1"/>
      <c r="B587" s="2"/>
      <c r="C587" s="2"/>
      <c r="D587" s="2"/>
      <c r="E587" s="2"/>
      <c r="F587" s="2"/>
      <c r="G587" s="2"/>
      <c r="H587" s="2"/>
      <c r="I587" s="40">
        <v>34860</v>
      </c>
      <c r="J587" s="39">
        <v>0.62978484850000005</v>
      </c>
      <c r="K587" s="28">
        <v>0.43</v>
      </c>
      <c r="N587" s="28">
        <v>0.56999999999999995</v>
      </c>
      <c r="Q587" s="28">
        <v>0.34</v>
      </c>
      <c r="T587" s="28">
        <v>0.33</v>
      </c>
      <c r="W587" s="28">
        <v>5.0000000000000001E-3</v>
      </c>
      <c r="Z587" s="28">
        <v>0</v>
      </c>
      <c r="AC587" s="28">
        <v>0.48</v>
      </c>
      <c r="AF587" s="28">
        <v>0.26</v>
      </c>
      <c r="AI587" s="28">
        <v>0.22500000000000001</v>
      </c>
      <c r="AL587" s="28">
        <v>0.39</v>
      </c>
      <c r="AO587" s="28">
        <v>0.14000000000000001</v>
      </c>
      <c r="AR587" s="28">
        <v>0.13500000000000001</v>
      </c>
      <c r="AU587" s="28">
        <v>0.14499999999999999</v>
      </c>
      <c r="AX587" s="28">
        <v>0</v>
      </c>
      <c r="BA587" s="28">
        <v>0.01</v>
      </c>
    </row>
    <row r="588" spans="1:53" s="28" customFormat="1" ht="21" x14ac:dyDescent="0.35">
      <c r="A588" s="1"/>
      <c r="B588" s="2"/>
      <c r="C588" s="2"/>
      <c r="D588" s="2"/>
      <c r="E588" s="2"/>
      <c r="F588" s="2"/>
      <c r="G588" s="2"/>
      <c r="H588" s="2"/>
      <c r="I588" s="40">
        <v>34920</v>
      </c>
      <c r="J588" s="39">
        <v>0.62566060599999995</v>
      </c>
      <c r="K588" s="28">
        <v>0.43</v>
      </c>
      <c r="N588" s="28">
        <v>0.56999999999999995</v>
      </c>
      <c r="Q588" s="28">
        <v>0.33</v>
      </c>
      <c r="T588" s="28">
        <v>0.32</v>
      </c>
      <c r="W588" s="28">
        <v>0.01</v>
      </c>
      <c r="Z588" s="28">
        <v>0.01</v>
      </c>
      <c r="AC588" s="28">
        <v>0.47</v>
      </c>
      <c r="AF588" s="28">
        <v>0.255</v>
      </c>
      <c r="AI588" s="28">
        <v>0.22</v>
      </c>
      <c r="AL588" s="28">
        <v>0.38</v>
      </c>
      <c r="AO588" s="28">
        <v>0.13</v>
      </c>
      <c r="AR588" s="28">
        <v>0.13</v>
      </c>
      <c r="AU588" s="28">
        <v>0.14000000000000001</v>
      </c>
      <c r="AX588" s="28">
        <v>0</v>
      </c>
      <c r="BA588" s="28">
        <v>0.01</v>
      </c>
    </row>
    <row r="589" spans="1:53" s="28" customFormat="1" ht="21" x14ac:dyDescent="0.35">
      <c r="A589" s="1"/>
      <c r="B589" s="2"/>
      <c r="C589" s="2"/>
      <c r="D589" s="2"/>
      <c r="E589" s="2"/>
      <c r="F589" s="2"/>
      <c r="G589" s="2"/>
      <c r="H589" s="2"/>
      <c r="I589" s="40">
        <v>34980</v>
      </c>
      <c r="J589" s="39">
        <v>0.62092121199999994</v>
      </c>
      <c r="K589" s="28">
        <v>0.43</v>
      </c>
      <c r="N589" s="28">
        <v>0.56499999999999995</v>
      </c>
      <c r="Q589" s="28">
        <v>0.33</v>
      </c>
      <c r="T589" s="28">
        <v>0.32</v>
      </c>
      <c r="W589" s="28">
        <v>0.01</v>
      </c>
      <c r="Z589" s="28">
        <v>0.01</v>
      </c>
      <c r="AC589" s="28">
        <v>0.47</v>
      </c>
      <c r="AF589" s="28">
        <v>0.25</v>
      </c>
      <c r="AI589" s="28">
        <v>0.21</v>
      </c>
      <c r="AL589" s="28">
        <v>0.37</v>
      </c>
      <c r="AO589" s="28">
        <v>0.12</v>
      </c>
      <c r="AR589" s="28">
        <v>0.12</v>
      </c>
      <c r="AU589" s="28">
        <v>0.13</v>
      </c>
      <c r="AX589" s="28">
        <v>0</v>
      </c>
      <c r="BA589" s="28">
        <v>0.01</v>
      </c>
    </row>
    <row r="590" spans="1:53" s="28" customFormat="1" ht="21" x14ac:dyDescent="0.35">
      <c r="A590" s="1"/>
      <c r="B590" s="2"/>
      <c r="C590" s="2"/>
      <c r="D590" s="2"/>
      <c r="E590" s="2"/>
      <c r="F590" s="2"/>
      <c r="G590" s="2"/>
      <c r="H590" s="2"/>
      <c r="I590" s="40">
        <v>35040</v>
      </c>
      <c r="J590" s="39">
        <v>0.61616363649999994</v>
      </c>
      <c r="K590" s="28">
        <v>0.43</v>
      </c>
      <c r="N590" s="28">
        <v>0.56000000000000005</v>
      </c>
      <c r="Q590" s="28">
        <v>0.32</v>
      </c>
      <c r="T590" s="28">
        <v>0.315</v>
      </c>
      <c r="W590" s="28">
        <v>0.01</v>
      </c>
      <c r="Z590" s="28">
        <v>0.01</v>
      </c>
      <c r="AC590" s="28">
        <v>0.46</v>
      </c>
      <c r="AF590" s="28">
        <v>0.24</v>
      </c>
      <c r="AI590" s="28">
        <v>0.21</v>
      </c>
      <c r="AL590" s="28">
        <v>0.36</v>
      </c>
      <c r="AO590" s="28">
        <v>0.11</v>
      </c>
      <c r="AR590" s="28">
        <v>0.11</v>
      </c>
      <c r="AU590" s="28">
        <v>0.12</v>
      </c>
      <c r="AX590" s="28">
        <v>0</v>
      </c>
      <c r="BA590" s="28">
        <v>0.01</v>
      </c>
    </row>
    <row r="591" spans="1:53" s="28" customFormat="1" ht="21" x14ac:dyDescent="0.35">
      <c r="A591" s="1"/>
      <c r="B591" s="2"/>
      <c r="C591" s="2"/>
      <c r="D591" s="2"/>
      <c r="E591" s="2"/>
      <c r="F591" s="2"/>
      <c r="G591" s="2"/>
      <c r="H591" s="2"/>
      <c r="I591" s="40">
        <v>35100</v>
      </c>
      <c r="J591" s="39">
        <v>0.61094848499999999</v>
      </c>
      <c r="K591" s="28">
        <v>0.43</v>
      </c>
      <c r="N591" s="28">
        <v>0.55500000000000005</v>
      </c>
      <c r="Q591" s="28">
        <v>0.32</v>
      </c>
      <c r="T591" s="28">
        <v>0.31</v>
      </c>
      <c r="W591" s="28">
        <v>0.01</v>
      </c>
      <c r="Z591" s="28">
        <v>0.01</v>
      </c>
      <c r="AC591" s="28">
        <v>0.45500000000000002</v>
      </c>
      <c r="AF591" s="28">
        <v>0.24</v>
      </c>
      <c r="AI591" s="28">
        <v>0.2</v>
      </c>
      <c r="AL591" s="28">
        <v>0.35</v>
      </c>
      <c r="AO591" s="28">
        <v>0.105</v>
      </c>
      <c r="AR591" s="28">
        <v>0.1</v>
      </c>
      <c r="AU591" s="28">
        <v>0.11</v>
      </c>
      <c r="AX591" s="28">
        <v>0</v>
      </c>
      <c r="BA591" s="28">
        <v>0.01</v>
      </c>
    </row>
    <row r="592" spans="1:53" s="28" customFormat="1" ht="21" x14ac:dyDescent="0.35">
      <c r="A592" s="1"/>
      <c r="B592" s="2"/>
      <c r="C592" s="2"/>
      <c r="D592" s="2"/>
      <c r="E592" s="2"/>
      <c r="F592" s="2"/>
      <c r="G592" s="2"/>
      <c r="H592" s="2"/>
      <c r="I592" s="40">
        <v>35160</v>
      </c>
      <c r="J592" s="39">
        <v>0.60608181849999998</v>
      </c>
      <c r="K592" s="28">
        <v>0.42</v>
      </c>
      <c r="N592" s="28">
        <v>0.55000000000000004</v>
      </c>
      <c r="Q592" s="28">
        <v>0.315</v>
      </c>
      <c r="T592" s="28">
        <v>0.30499999999999999</v>
      </c>
      <c r="W592" s="28">
        <v>0.01</v>
      </c>
      <c r="Z592" s="28">
        <v>0.01</v>
      </c>
      <c r="AC592" s="28">
        <v>0.45</v>
      </c>
      <c r="AF592" s="28">
        <v>0.23</v>
      </c>
      <c r="AI592" s="28">
        <v>0.19500000000000001</v>
      </c>
      <c r="AL592" s="28">
        <v>0.34499999999999997</v>
      </c>
      <c r="AO592" s="28">
        <v>9.5000000000000001E-2</v>
      </c>
      <c r="AR592" s="28">
        <v>0.09</v>
      </c>
      <c r="AU592" s="28">
        <v>0.105</v>
      </c>
      <c r="AX592" s="28">
        <v>0</v>
      </c>
      <c r="BA592" s="28">
        <v>0.01</v>
      </c>
    </row>
    <row r="593" spans="1:53" s="28" customFormat="1" ht="21" x14ac:dyDescent="0.35">
      <c r="A593" s="1"/>
      <c r="B593" s="2"/>
      <c r="C593" s="2"/>
      <c r="D593" s="2"/>
      <c r="E593" s="2"/>
      <c r="F593" s="2"/>
      <c r="G593" s="2"/>
      <c r="H593" s="2"/>
      <c r="I593" s="40">
        <v>35220</v>
      </c>
      <c r="J593" s="39">
        <v>0.60089999999999999</v>
      </c>
      <c r="K593" s="28">
        <v>0.42</v>
      </c>
      <c r="N593" s="28">
        <v>0.55000000000000004</v>
      </c>
      <c r="Q593" s="28">
        <v>0.31</v>
      </c>
      <c r="T593" s="28">
        <v>0.3</v>
      </c>
      <c r="W593" s="28">
        <v>0.01</v>
      </c>
      <c r="Z593" s="28">
        <v>0.01</v>
      </c>
      <c r="AC593" s="28">
        <v>0.44</v>
      </c>
      <c r="AF593" s="28">
        <v>0.22500000000000001</v>
      </c>
      <c r="AI593" s="28">
        <v>0.19</v>
      </c>
      <c r="AL593" s="28">
        <v>0.33500000000000002</v>
      </c>
      <c r="AO593" s="28">
        <v>8.5000000000000006E-2</v>
      </c>
      <c r="AR593" s="28">
        <v>8.5000000000000006E-2</v>
      </c>
      <c r="AU593" s="28">
        <v>9.5000000000000001E-2</v>
      </c>
      <c r="AX593" s="28">
        <v>0</v>
      </c>
      <c r="BA593" s="28">
        <v>0.01</v>
      </c>
    </row>
    <row r="594" spans="1:53" s="28" customFormat="1" ht="21" x14ac:dyDescent="0.35">
      <c r="A594" s="1"/>
      <c r="B594" s="2"/>
      <c r="C594" s="2"/>
      <c r="D594" s="2"/>
      <c r="E594" s="2"/>
      <c r="F594" s="2"/>
      <c r="G594" s="2"/>
      <c r="H594" s="2"/>
      <c r="I594" s="40">
        <v>35280</v>
      </c>
      <c r="J594" s="39">
        <v>0.5999848485</v>
      </c>
      <c r="K594" s="28">
        <v>0.42499999999999999</v>
      </c>
      <c r="N594" s="28">
        <v>0.55000000000000004</v>
      </c>
      <c r="Q594" s="28">
        <v>0.31</v>
      </c>
      <c r="T594" s="28">
        <v>0.30499999999999999</v>
      </c>
      <c r="W594" s="28">
        <v>0.01</v>
      </c>
      <c r="Z594" s="28">
        <v>0.01</v>
      </c>
      <c r="AC594" s="28">
        <v>0.44</v>
      </c>
      <c r="AF594" s="28">
        <v>0.22</v>
      </c>
      <c r="AI594" s="28">
        <v>0.19</v>
      </c>
      <c r="AL594" s="28">
        <v>0.33</v>
      </c>
      <c r="AO594" s="28">
        <v>0.08</v>
      </c>
      <c r="AR594" s="28">
        <v>0.08</v>
      </c>
      <c r="AU594" s="28">
        <v>0.09</v>
      </c>
      <c r="AX594" s="28">
        <v>5.0000000000000001E-3</v>
      </c>
      <c r="BA594" s="28">
        <v>0.01</v>
      </c>
    </row>
    <row r="595" spans="1:53" s="28" customFormat="1" ht="21" x14ac:dyDescent="0.35">
      <c r="A595" s="1"/>
      <c r="B595" s="2"/>
      <c r="C595" s="2"/>
      <c r="D595" s="2"/>
      <c r="E595" s="2"/>
      <c r="F595" s="2"/>
      <c r="G595" s="2"/>
      <c r="H595" s="2"/>
      <c r="I595" s="40">
        <v>35340</v>
      </c>
      <c r="J595" s="39">
        <v>0.64270302999999995</v>
      </c>
      <c r="K595" s="28">
        <v>0.43</v>
      </c>
      <c r="N595" s="28">
        <v>0.56499999999999995</v>
      </c>
      <c r="Q595" s="28">
        <v>0.32</v>
      </c>
      <c r="T595" s="28">
        <v>0.315</v>
      </c>
      <c r="W595" s="28">
        <v>0.01</v>
      </c>
      <c r="Z595" s="28">
        <v>0.01</v>
      </c>
      <c r="AC595" s="28">
        <v>0.45</v>
      </c>
      <c r="AF595" s="28">
        <v>0.22500000000000001</v>
      </c>
      <c r="AI595" s="28">
        <v>0.19</v>
      </c>
      <c r="AL595" s="28">
        <v>0.33</v>
      </c>
      <c r="AO595" s="28">
        <v>0.08</v>
      </c>
      <c r="AR595" s="28">
        <v>7.4999999999999997E-2</v>
      </c>
      <c r="AU595" s="28">
        <v>0.08</v>
      </c>
      <c r="AX595" s="28">
        <v>0.01</v>
      </c>
      <c r="BA595" s="28">
        <v>0.01</v>
      </c>
    </row>
    <row r="596" spans="1:53" s="28" customFormat="1" ht="21" x14ac:dyDescent="0.35">
      <c r="A596" s="1"/>
      <c r="B596" s="2"/>
      <c r="C596" s="2"/>
      <c r="D596" s="2"/>
      <c r="E596" s="2"/>
      <c r="F596" s="2"/>
      <c r="G596" s="2"/>
      <c r="H596" s="2"/>
      <c r="I596" s="40">
        <v>35400</v>
      </c>
      <c r="J596" s="39">
        <v>0.72122424249999995</v>
      </c>
      <c r="K596" s="28">
        <v>0.44</v>
      </c>
      <c r="N596" s="28">
        <v>0.58499999999999996</v>
      </c>
      <c r="Q596" s="28">
        <v>0.33500000000000002</v>
      </c>
      <c r="T596" s="28">
        <v>0.33500000000000002</v>
      </c>
      <c r="W596" s="28">
        <v>0.01</v>
      </c>
      <c r="Z596" s="28">
        <v>0.01</v>
      </c>
      <c r="AC596" s="28">
        <v>0.46500000000000002</v>
      </c>
      <c r="AF596" s="28">
        <v>0.245</v>
      </c>
      <c r="AI596" s="28">
        <v>0.20499999999999999</v>
      </c>
      <c r="AL596" s="28">
        <v>0.34499999999999997</v>
      </c>
      <c r="AO596" s="28">
        <v>8.5000000000000006E-2</v>
      </c>
      <c r="AR596" s="28">
        <v>8.5000000000000006E-2</v>
      </c>
      <c r="AU596" s="28">
        <v>8.5000000000000006E-2</v>
      </c>
      <c r="AX596" s="28">
        <v>0.01</v>
      </c>
      <c r="BA596" s="28">
        <v>0.01</v>
      </c>
    </row>
    <row r="597" spans="1:53" s="28" customFormat="1" ht="21" x14ac:dyDescent="0.35">
      <c r="A597" s="1"/>
      <c r="B597" s="2"/>
      <c r="C597" s="2"/>
      <c r="D597" s="2"/>
      <c r="E597" s="2"/>
      <c r="F597" s="2"/>
      <c r="G597" s="2"/>
      <c r="H597" s="2"/>
      <c r="I597" s="40">
        <v>35460</v>
      </c>
      <c r="J597" s="39">
        <v>0.79863030300000004</v>
      </c>
      <c r="K597" s="28">
        <v>0.44500000000000001</v>
      </c>
      <c r="N597" s="28">
        <v>0.60499999999999998</v>
      </c>
      <c r="Q597" s="28">
        <v>0.35499999999999998</v>
      </c>
      <c r="T597" s="28">
        <v>0.35499999999999998</v>
      </c>
      <c r="W597" s="28">
        <v>0.01</v>
      </c>
      <c r="Z597" s="28">
        <v>0.01</v>
      </c>
      <c r="AC597" s="28">
        <v>0.48499999999999999</v>
      </c>
      <c r="AF597" s="28">
        <v>0.26500000000000001</v>
      </c>
      <c r="AI597" s="28">
        <v>0.22500000000000001</v>
      </c>
      <c r="AL597" s="28">
        <v>0.35499999999999998</v>
      </c>
      <c r="AO597" s="28">
        <v>9.5000000000000001E-2</v>
      </c>
      <c r="AR597" s="28">
        <v>0.105</v>
      </c>
      <c r="AU597" s="28">
        <v>9.5000000000000001E-2</v>
      </c>
      <c r="AX597" s="28">
        <v>0.01</v>
      </c>
      <c r="BA597" s="28">
        <v>0.01</v>
      </c>
    </row>
    <row r="598" spans="1:53" s="28" customFormat="1" ht="21" x14ac:dyDescent="0.35">
      <c r="A598" s="1"/>
      <c r="B598" s="2"/>
      <c r="C598" s="2"/>
      <c r="D598" s="2"/>
      <c r="E598" s="2"/>
      <c r="F598" s="2"/>
      <c r="G598" s="2"/>
      <c r="H598" s="2"/>
      <c r="I598" s="40">
        <v>35520</v>
      </c>
      <c r="J598" s="39">
        <v>0.81938484850000004</v>
      </c>
      <c r="K598" s="28">
        <v>0.45</v>
      </c>
      <c r="N598" s="28">
        <v>0.62</v>
      </c>
      <c r="Q598" s="28">
        <v>0.375</v>
      </c>
      <c r="T598" s="28">
        <v>0.37</v>
      </c>
      <c r="W598" s="28">
        <v>0.01</v>
      </c>
      <c r="Z598" s="28">
        <v>0.01</v>
      </c>
      <c r="AC598" s="28">
        <v>0.51500000000000001</v>
      </c>
      <c r="AF598" s="28">
        <v>0.28499999999999998</v>
      </c>
      <c r="AI598" s="28">
        <v>0.245</v>
      </c>
      <c r="AL598" s="28">
        <v>0.375</v>
      </c>
      <c r="AO598" s="28">
        <v>0.115</v>
      </c>
      <c r="AR598" s="28">
        <v>0.12</v>
      </c>
      <c r="AU598" s="28">
        <v>0.105</v>
      </c>
      <c r="AX598" s="28">
        <v>5.0000000000000001E-3</v>
      </c>
      <c r="BA598" s="28">
        <v>0.01</v>
      </c>
    </row>
    <row r="599" spans="1:53" s="28" customFormat="1" ht="21" x14ac:dyDescent="0.35">
      <c r="A599" s="1"/>
      <c r="B599" s="2"/>
      <c r="C599" s="2"/>
      <c r="D599" s="2"/>
      <c r="E599" s="2"/>
      <c r="F599" s="2"/>
      <c r="G599" s="2"/>
      <c r="H599" s="2"/>
      <c r="I599" s="40">
        <v>35580</v>
      </c>
      <c r="J599" s="39">
        <v>0.82054848449999995</v>
      </c>
      <c r="K599" s="28">
        <v>0.46</v>
      </c>
      <c r="N599" s="28">
        <v>0.63</v>
      </c>
      <c r="Q599" s="28">
        <v>0.38500000000000001</v>
      </c>
      <c r="T599" s="28">
        <v>0.38500000000000001</v>
      </c>
      <c r="W599" s="28">
        <v>0.01</v>
      </c>
      <c r="Z599" s="28">
        <v>0.01</v>
      </c>
      <c r="AC599" s="28">
        <v>0.53</v>
      </c>
      <c r="AF599" s="28">
        <v>0.30499999999999999</v>
      </c>
      <c r="AI599" s="28">
        <v>0.26500000000000001</v>
      </c>
      <c r="AL599" s="28">
        <v>0.39500000000000002</v>
      </c>
      <c r="AO599" s="28">
        <v>0.13500000000000001</v>
      </c>
      <c r="AR599" s="28">
        <v>0.14499999999999999</v>
      </c>
      <c r="AU599" s="28">
        <v>0.125</v>
      </c>
      <c r="AX599" s="28">
        <v>0</v>
      </c>
      <c r="BA599" s="28">
        <v>0.01</v>
      </c>
    </row>
    <row r="600" spans="1:53" s="28" customFormat="1" ht="21" x14ac:dyDescent="0.35">
      <c r="A600" s="1"/>
      <c r="B600" s="2"/>
      <c r="C600" s="2"/>
      <c r="D600" s="2"/>
      <c r="E600" s="2"/>
      <c r="F600" s="2"/>
      <c r="G600" s="2"/>
      <c r="H600" s="2"/>
      <c r="I600" s="40">
        <v>35640</v>
      </c>
      <c r="J600" s="39">
        <v>0.81423636349999995</v>
      </c>
      <c r="K600" s="28">
        <v>0.46</v>
      </c>
      <c r="N600" s="28">
        <v>0.63</v>
      </c>
      <c r="Q600" s="28">
        <v>0.39</v>
      </c>
      <c r="T600" s="28">
        <v>0.39</v>
      </c>
      <c r="W600" s="28">
        <v>0.01</v>
      </c>
      <c r="Z600" s="28">
        <v>0.01</v>
      </c>
      <c r="AC600" s="28">
        <v>0.54</v>
      </c>
      <c r="AF600" s="28">
        <v>0.315</v>
      </c>
      <c r="AI600" s="28">
        <v>0.28000000000000003</v>
      </c>
      <c r="AL600" s="28">
        <v>0.41</v>
      </c>
      <c r="AO600" s="28">
        <v>0.15</v>
      </c>
      <c r="AR600" s="28">
        <v>0.155</v>
      </c>
      <c r="AU600" s="28">
        <v>0.14499999999999999</v>
      </c>
      <c r="AX600" s="28">
        <v>0</v>
      </c>
      <c r="BA600" s="28">
        <v>0.01</v>
      </c>
    </row>
    <row r="601" spans="1:53" s="28" customFormat="1" ht="21" x14ac:dyDescent="0.35">
      <c r="A601" s="1"/>
      <c r="B601" s="2"/>
      <c r="C601" s="2"/>
      <c r="D601" s="2"/>
      <c r="E601" s="2"/>
      <c r="F601" s="2"/>
      <c r="G601" s="2"/>
      <c r="H601" s="2"/>
      <c r="I601" s="40">
        <v>35700</v>
      </c>
      <c r="J601" s="39">
        <v>0.80537878799999996</v>
      </c>
      <c r="K601" s="28">
        <v>0.45</v>
      </c>
      <c r="N601" s="28">
        <v>0.625</v>
      </c>
      <c r="Q601" s="28">
        <v>0.39</v>
      </c>
      <c r="T601" s="28">
        <v>0.38</v>
      </c>
      <c r="W601" s="28">
        <v>0.01</v>
      </c>
      <c r="Z601" s="28">
        <v>0.01</v>
      </c>
      <c r="AC601" s="28">
        <v>0.54</v>
      </c>
      <c r="AF601" s="28">
        <v>0.32</v>
      </c>
      <c r="AI601" s="28">
        <v>0.28000000000000003</v>
      </c>
      <c r="AL601" s="28">
        <v>0.42</v>
      </c>
      <c r="AO601" s="28">
        <v>0.16</v>
      </c>
      <c r="AR601" s="28">
        <v>0.16500000000000001</v>
      </c>
      <c r="AU601" s="28">
        <v>0.16</v>
      </c>
      <c r="AX601" s="28">
        <v>0</v>
      </c>
      <c r="BA601" s="28">
        <v>0.01</v>
      </c>
    </row>
    <row r="602" spans="1:53" s="28" customFormat="1" ht="21" x14ac:dyDescent="0.35">
      <c r="A602" s="1"/>
      <c r="B602" s="2"/>
      <c r="C602" s="2"/>
      <c r="D602" s="2"/>
      <c r="E602" s="2"/>
      <c r="F602" s="2"/>
      <c r="G602" s="2"/>
      <c r="H602" s="2"/>
      <c r="I602" s="40">
        <v>35760</v>
      </c>
      <c r="J602" s="39">
        <v>0.79315151500000003</v>
      </c>
      <c r="K602" s="28">
        <v>0.45</v>
      </c>
      <c r="N602" s="28">
        <v>0.62</v>
      </c>
      <c r="Q602" s="28">
        <v>0.38500000000000001</v>
      </c>
      <c r="T602" s="28">
        <v>0.38</v>
      </c>
      <c r="W602" s="28">
        <v>0.01</v>
      </c>
      <c r="Z602" s="28">
        <v>0.01</v>
      </c>
      <c r="AC602" s="28">
        <v>0.54</v>
      </c>
      <c r="AF602" s="28">
        <v>0.32</v>
      </c>
      <c r="AI602" s="28">
        <v>0.28000000000000003</v>
      </c>
      <c r="AL602" s="28">
        <v>0.42</v>
      </c>
      <c r="AO602" s="28">
        <v>0.16</v>
      </c>
      <c r="AR602" s="28">
        <v>0.17</v>
      </c>
      <c r="AU602" s="28">
        <v>0.17</v>
      </c>
      <c r="AX602" s="28">
        <v>0</v>
      </c>
      <c r="BA602" s="28">
        <v>0.01</v>
      </c>
    </row>
    <row r="603" spans="1:53" s="28" customFormat="1" ht="21" x14ac:dyDescent="0.35">
      <c r="A603" s="1"/>
      <c r="B603" s="2"/>
      <c r="C603" s="2"/>
      <c r="D603" s="2"/>
      <c r="E603" s="2"/>
      <c r="F603" s="2"/>
      <c r="G603" s="2"/>
      <c r="H603" s="2"/>
      <c r="I603" s="40">
        <v>35820</v>
      </c>
      <c r="J603" s="39">
        <v>0.7816454545</v>
      </c>
      <c r="K603" s="28">
        <v>0.45</v>
      </c>
      <c r="N603" s="28">
        <v>0.62</v>
      </c>
      <c r="Q603" s="28">
        <v>0.38</v>
      </c>
      <c r="T603" s="28">
        <v>0.38</v>
      </c>
      <c r="W603" s="28">
        <v>0.01</v>
      </c>
      <c r="Z603" s="28">
        <v>0.01</v>
      </c>
      <c r="AC603" s="28">
        <v>0.53</v>
      </c>
      <c r="AF603" s="28">
        <v>0.32</v>
      </c>
      <c r="AI603" s="28">
        <v>0.28000000000000003</v>
      </c>
      <c r="AL603" s="28">
        <v>0.42</v>
      </c>
      <c r="AO603" s="28">
        <v>0.16</v>
      </c>
      <c r="AR603" s="28">
        <v>0.17</v>
      </c>
      <c r="AU603" s="28">
        <v>0.17</v>
      </c>
      <c r="AX603" s="28">
        <v>0</v>
      </c>
      <c r="BA603" s="28">
        <v>0.01</v>
      </c>
    </row>
    <row r="604" spans="1:53" s="28" customFormat="1" ht="21" x14ac:dyDescent="0.35">
      <c r="A604" s="1"/>
      <c r="B604" s="2"/>
      <c r="C604" s="2"/>
      <c r="D604" s="2"/>
      <c r="E604" s="2"/>
      <c r="F604" s="2"/>
      <c r="G604" s="2"/>
      <c r="H604" s="2"/>
      <c r="I604" s="40">
        <v>35880</v>
      </c>
      <c r="J604" s="39">
        <v>0.77875151499999995</v>
      </c>
      <c r="K604" s="28">
        <v>0.45500000000000002</v>
      </c>
      <c r="N604" s="28">
        <v>0.625</v>
      </c>
      <c r="Q604" s="28">
        <v>0.39</v>
      </c>
      <c r="T604" s="28">
        <v>0.38500000000000001</v>
      </c>
      <c r="W604" s="28">
        <v>0.01</v>
      </c>
      <c r="Z604" s="28">
        <v>0.01</v>
      </c>
      <c r="AC604" s="28">
        <v>0.54</v>
      </c>
      <c r="AF604" s="28">
        <v>0.32</v>
      </c>
      <c r="AI604" s="28">
        <v>0.28499999999999998</v>
      </c>
      <c r="AL604" s="28">
        <v>0.42499999999999999</v>
      </c>
      <c r="AO604" s="28">
        <v>0.17</v>
      </c>
      <c r="AR604" s="28">
        <v>0.17499999999999999</v>
      </c>
      <c r="AU604" s="28">
        <v>0.18</v>
      </c>
      <c r="AX604" s="28">
        <v>0.01</v>
      </c>
      <c r="BA604" s="28">
        <v>0.01</v>
      </c>
    </row>
    <row r="605" spans="1:53" s="28" customFormat="1" ht="21" x14ac:dyDescent="0.35">
      <c r="A605" s="1"/>
      <c r="B605" s="2"/>
      <c r="C605" s="2"/>
      <c r="D605" s="2"/>
      <c r="E605" s="2"/>
      <c r="F605" s="2"/>
      <c r="G605" s="2"/>
      <c r="H605" s="2"/>
      <c r="I605" s="40">
        <v>35940</v>
      </c>
      <c r="J605" s="39">
        <v>0.83577878800000005</v>
      </c>
      <c r="K605" s="28">
        <v>0.46</v>
      </c>
      <c r="N605" s="28">
        <v>0.64500000000000002</v>
      </c>
      <c r="Q605" s="28">
        <v>0.40500000000000003</v>
      </c>
      <c r="T605" s="28">
        <v>0.39500000000000002</v>
      </c>
      <c r="W605" s="28">
        <v>0.01</v>
      </c>
      <c r="Z605" s="28">
        <v>0.01</v>
      </c>
      <c r="AC605" s="28">
        <v>0.55500000000000005</v>
      </c>
      <c r="AF605" s="28">
        <v>0.33</v>
      </c>
      <c r="AI605" s="28">
        <v>0.29499999999999998</v>
      </c>
      <c r="AL605" s="28">
        <v>0.435</v>
      </c>
      <c r="AO605" s="28">
        <v>0.18</v>
      </c>
      <c r="AR605" s="28">
        <v>0.185</v>
      </c>
      <c r="AU605" s="28">
        <v>0.19</v>
      </c>
      <c r="AX605" s="28">
        <v>0.01</v>
      </c>
      <c r="BA605" s="28">
        <v>0.01</v>
      </c>
    </row>
    <row r="606" spans="1:53" s="28" customFormat="1" ht="21" x14ac:dyDescent="0.35">
      <c r="A606" s="1"/>
      <c r="B606" s="2"/>
      <c r="C606" s="2"/>
      <c r="D606" s="2"/>
      <c r="E606" s="2"/>
      <c r="F606" s="2"/>
      <c r="G606" s="2"/>
      <c r="H606" s="2"/>
      <c r="I606" s="40">
        <v>36000</v>
      </c>
      <c r="J606" s="39">
        <v>0.93382424249999996</v>
      </c>
      <c r="K606" s="28">
        <v>0.47</v>
      </c>
      <c r="N606" s="28">
        <v>0.66500000000000004</v>
      </c>
      <c r="Q606" s="28">
        <v>0.42499999999999999</v>
      </c>
      <c r="T606" s="28">
        <v>0.42</v>
      </c>
      <c r="W606" s="28">
        <v>0.01</v>
      </c>
      <c r="Z606" s="28">
        <v>0.01</v>
      </c>
      <c r="AC606" s="28">
        <v>0.57499999999999996</v>
      </c>
      <c r="AF606" s="28">
        <v>0.35</v>
      </c>
      <c r="AI606" s="28">
        <v>0.315</v>
      </c>
      <c r="AL606" s="28">
        <v>0.46500000000000002</v>
      </c>
      <c r="AO606" s="28">
        <v>0.20499999999999999</v>
      </c>
      <c r="AR606" s="28">
        <v>0.215</v>
      </c>
      <c r="AU606" s="28">
        <v>0.215</v>
      </c>
      <c r="AX606" s="28">
        <v>0.01</v>
      </c>
      <c r="BA606" s="28">
        <v>0.01</v>
      </c>
    </row>
    <row r="607" spans="1:53" s="28" customFormat="1" ht="21" x14ac:dyDescent="0.35">
      <c r="A607" s="1"/>
      <c r="B607" s="2"/>
      <c r="C607" s="2"/>
      <c r="D607" s="2"/>
      <c r="E607" s="2"/>
      <c r="F607" s="2"/>
      <c r="G607" s="2"/>
      <c r="H607" s="2"/>
      <c r="I607" s="40">
        <v>36060</v>
      </c>
      <c r="J607" s="39">
        <v>1.0436727275</v>
      </c>
      <c r="K607" s="28">
        <v>0.48</v>
      </c>
      <c r="N607" s="28">
        <v>0.69</v>
      </c>
      <c r="Q607" s="28">
        <v>0.44500000000000001</v>
      </c>
      <c r="T607" s="28">
        <v>0.44500000000000001</v>
      </c>
      <c r="W607" s="28">
        <v>0.01</v>
      </c>
      <c r="Z607" s="28">
        <v>2.5000000000000001E-2</v>
      </c>
      <c r="AC607" s="28">
        <v>0.6</v>
      </c>
      <c r="AF607" s="28">
        <v>0.375</v>
      </c>
      <c r="AI607" s="28">
        <v>0.34499999999999997</v>
      </c>
      <c r="AL607" s="28">
        <v>0.5</v>
      </c>
      <c r="AO607" s="28">
        <v>0.23</v>
      </c>
      <c r="AR607" s="28">
        <v>0.25</v>
      </c>
      <c r="AU607" s="28">
        <v>0.24</v>
      </c>
      <c r="AX607" s="28">
        <v>0.01</v>
      </c>
      <c r="BA607" s="28">
        <v>0.02</v>
      </c>
    </row>
    <row r="608" spans="1:53" s="28" customFormat="1" ht="21" x14ac:dyDescent="0.35">
      <c r="A608" s="1"/>
      <c r="B608" s="2"/>
      <c r="C608" s="2"/>
      <c r="D608" s="2"/>
      <c r="E608" s="2"/>
      <c r="F608" s="2"/>
      <c r="G608" s="2"/>
      <c r="H608" s="2"/>
      <c r="I608" s="40">
        <v>36120</v>
      </c>
      <c r="J608" s="39">
        <v>1.0854030305</v>
      </c>
      <c r="K608" s="28">
        <v>0.49</v>
      </c>
      <c r="N608" s="28">
        <v>0.71499999999999997</v>
      </c>
      <c r="Q608" s="28">
        <v>0.47</v>
      </c>
      <c r="T608" s="28">
        <v>0.46500000000000002</v>
      </c>
      <c r="W608" s="28">
        <v>1.4999999999999999E-2</v>
      </c>
      <c r="Z608" s="28">
        <v>4.4999999999999998E-2</v>
      </c>
      <c r="AC608" s="28">
        <v>0.63</v>
      </c>
      <c r="AF608" s="28">
        <v>0.40500000000000003</v>
      </c>
      <c r="AI608" s="28">
        <v>0.375</v>
      </c>
      <c r="AL608" s="28">
        <v>0.53</v>
      </c>
      <c r="AO608" s="28">
        <v>0.26500000000000001</v>
      </c>
      <c r="AR608" s="28">
        <v>0.28999999999999998</v>
      </c>
      <c r="AU608" s="28">
        <v>0.27</v>
      </c>
      <c r="AX608" s="28">
        <v>0.01</v>
      </c>
      <c r="BA608" s="28">
        <v>3.5000000000000003E-2</v>
      </c>
    </row>
    <row r="609" spans="1:53" s="28" customFormat="1" ht="21" x14ac:dyDescent="0.35">
      <c r="A609" s="1"/>
      <c r="B609" s="2"/>
      <c r="C609" s="2"/>
      <c r="D609" s="2"/>
      <c r="E609" s="2"/>
      <c r="F609" s="2"/>
      <c r="G609" s="2"/>
      <c r="H609" s="2"/>
      <c r="I609" s="40">
        <v>36180</v>
      </c>
      <c r="J609" s="39">
        <v>1.0860909089999999</v>
      </c>
      <c r="K609" s="28">
        <v>0.495</v>
      </c>
      <c r="N609" s="28">
        <v>0.73</v>
      </c>
      <c r="Q609" s="28">
        <v>0.49</v>
      </c>
      <c r="T609" s="28">
        <v>0.48499999999999999</v>
      </c>
      <c r="W609" s="28">
        <v>2.5000000000000001E-2</v>
      </c>
      <c r="Z609" s="28">
        <v>7.4999999999999997E-2</v>
      </c>
      <c r="AC609" s="28">
        <v>0.65500000000000003</v>
      </c>
      <c r="AF609" s="28">
        <v>0.435</v>
      </c>
      <c r="AI609" s="28">
        <v>0.40500000000000003</v>
      </c>
      <c r="AL609" s="28">
        <v>0.56499999999999995</v>
      </c>
      <c r="AO609" s="28">
        <v>0.3</v>
      </c>
      <c r="AR609" s="28">
        <v>0.32</v>
      </c>
      <c r="AU609" s="28">
        <v>0.31</v>
      </c>
      <c r="AX609" s="28">
        <v>2.5000000000000001E-2</v>
      </c>
      <c r="BA609" s="28">
        <v>0.06</v>
      </c>
    </row>
    <row r="610" spans="1:53" s="28" customFormat="1" ht="21" x14ac:dyDescent="0.35">
      <c r="A610" s="1"/>
      <c r="B610" s="2"/>
      <c r="C610" s="2"/>
      <c r="D610" s="2"/>
      <c r="E610" s="2"/>
      <c r="F610" s="2"/>
      <c r="G610" s="2"/>
      <c r="H610" s="2"/>
      <c r="I610" s="40">
        <v>36240</v>
      </c>
      <c r="J610" s="39">
        <v>1.0722696970000001</v>
      </c>
      <c r="K610" s="28">
        <v>0.5</v>
      </c>
      <c r="N610" s="28">
        <v>0.74</v>
      </c>
      <c r="Q610" s="28">
        <v>0.505</v>
      </c>
      <c r="T610" s="28">
        <v>0.5</v>
      </c>
      <c r="W610" s="28">
        <v>0.04</v>
      </c>
      <c r="Z610" s="28">
        <v>0.1</v>
      </c>
      <c r="AC610" s="28">
        <v>0.67</v>
      </c>
      <c r="AF610" s="28">
        <v>0.45</v>
      </c>
      <c r="AI610" s="28">
        <v>0.42499999999999999</v>
      </c>
      <c r="AL610" s="28">
        <v>0.59</v>
      </c>
      <c r="AO610" s="28">
        <v>0.33</v>
      </c>
      <c r="AR610" s="28">
        <v>0.35499999999999998</v>
      </c>
      <c r="AU610" s="28">
        <v>0.34499999999999997</v>
      </c>
      <c r="AX610" s="28">
        <v>4.4999999999999998E-2</v>
      </c>
      <c r="BA610" s="28">
        <v>0.09</v>
      </c>
    </row>
    <row r="611" spans="1:53" s="28" customFormat="1" ht="21" x14ac:dyDescent="0.35">
      <c r="A611" s="1"/>
      <c r="B611" s="2"/>
      <c r="C611" s="2"/>
      <c r="D611" s="2"/>
      <c r="E611" s="2"/>
      <c r="F611" s="2"/>
      <c r="G611" s="2"/>
      <c r="H611" s="2"/>
      <c r="I611" s="40">
        <v>36300</v>
      </c>
      <c r="J611" s="39">
        <v>1.055639394</v>
      </c>
      <c r="K611" s="28">
        <v>0.5</v>
      </c>
      <c r="N611" s="28">
        <v>0.74</v>
      </c>
      <c r="Q611" s="28">
        <v>0.51</v>
      </c>
      <c r="T611" s="28">
        <v>0.51</v>
      </c>
      <c r="W611" s="28">
        <v>5.5E-2</v>
      </c>
      <c r="Z611" s="28">
        <v>0.125</v>
      </c>
      <c r="AC611" s="28">
        <v>0.68</v>
      </c>
      <c r="AF611" s="28">
        <v>0.46500000000000002</v>
      </c>
      <c r="AI611" s="28">
        <v>0.435</v>
      </c>
      <c r="AL611" s="28">
        <v>0.60499999999999998</v>
      </c>
      <c r="AO611" s="28">
        <v>0.35499999999999998</v>
      </c>
      <c r="AR611" s="28">
        <v>0.37</v>
      </c>
      <c r="AU611" s="28">
        <v>0.375</v>
      </c>
      <c r="AX611" s="28">
        <v>6.5000000000000002E-2</v>
      </c>
      <c r="BA611" s="28">
        <v>0.12</v>
      </c>
    </row>
    <row r="612" spans="1:53" s="28" customFormat="1" ht="21" x14ac:dyDescent="0.35">
      <c r="A612" s="1"/>
      <c r="B612" s="2"/>
      <c r="C612" s="2"/>
      <c r="D612" s="2"/>
      <c r="E612" s="2"/>
      <c r="F612" s="2"/>
      <c r="G612" s="2"/>
      <c r="H612" s="2"/>
      <c r="I612" s="40">
        <v>36360</v>
      </c>
      <c r="J612" s="39">
        <v>1.0378757574999999</v>
      </c>
      <c r="K612" s="28">
        <v>0.5</v>
      </c>
      <c r="N612" s="28">
        <v>0.75</v>
      </c>
      <c r="Q612" s="28">
        <v>0.51500000000000001</v>
      </c>
      <c r="T612" s="28">
        <v>0.51</v>
      </c>
      <c r="W612" s="28">
        <v>6.5000000000000002E-2</v>
      </c>
      <c r="Z612" s="28">
        <v>0.14000000000000001</v>
      </c>
      <c r="AC612" s="28">
        <v>0.69</v>
      </c>
      <c r="AF612" s="28">
        <v>0.47</v>
      </c>
      <c r="AI612" s="28">
        <v>0.44</v>
      </c>
      <c r="AL612" s="28">
        <v>0.625</v>
      </c>
      <c r="AO612" s="28">
        <v>0.37</v>
      </c>
      <c r="AR612" s="28">
        <v>0.38500000000000001</v>
      </c>
      <c r="AU612" s="28">
        <v>0.39500000000000002</v>
      </c>
      <c r="AX612" s="28">
        <v>9.5000000000000001E-2</v>
      </c>
      <c r="BA612" s="28">
        <v>0.155</v>
      </c>
    </row>
    <row r="613" spans="1:53" s="28" customFormat="1" ht="21" x14ac:dyDescent="0.35">
      <c r="A613" s="1"/>
      <c r="B613" s="2"/>
      <c r="C613" s="2"/>
      <c r="D613" s="2"/>
      <c r="E613" s="2"/>
      <c r="F613" s="2"/>
      <c r="G613" s="2"/>
      <c r="H613" s="2"/>
      <c r="I613" s="40">
        <v>36420</v>
      </c>
      <c r="J613" s="39">
        <v>1.021442424</v>
      </c>
      <c r="K613" s="28">
        <v>0.5</v>
      </c>
      <c r="N613" s="28">
        <v>0.75</v>
      </c>
      <c r="Q613" s="28">
        <v>0.52</v>
      </c>
      <c r="T613" s="28">
        <v>0.51</v>
      </c>
      <c r="W613" s="28">
        <v>0.08</v>
      </c>
      <c r="Z613" s="28">
        <v>0.15</v>
      </c>
      <c r="AC613" s="28">
        <v>0.69499999999999995</v>
      </c>
      <c r="AF613" s="28">
        <v>0.47499999999999998</v>
      </c>
      <c r="AI613" s="28">
        <v>0.45</v>
      </c>
      <c r="AL613" s="28">
        <v>0.63500000000000001</v>
      </c>
      <c r="AO613" s="28">
        <v>0.38500000000000001</v>
      </c>
      <c r="AR613" s="28">
        <v>0.39500000000000002</v>
      </c>
      <c r="AU613" s="28">
        <v>0.41499999999999998</v>
      </c>
      <c r="AX613" s="28">
        <v>0.115</v>
      </c>
      <c r="BA613" s="28">
        <v>0.17499999999999999</v>
      </c>
    </row>
    <row r="614" spans="1:53" s="28" customFormat="1" ht="21" x14ac:dyDescent="0.35">
      <c r="A614" s="1"/>
      <c r="B614" s="2"/>
      <c r="C614" s="2"/>
      <c r="D614" s="2"/>
      <c r="E614" s="2"/>
      <c r="F614" s="2"/>
      <c r="G614" s="2"/>
      <c r="H614" s="2"/>
      <c r="I614" s="40">
        <v>36480</v>
      </c>
      <c r="J614" s="39">
        <v>1.0042272729999999</v>
      </c>
      <c r="K614" s="28">
        <v>0.5</v>
      </c>
      <c r="N614" s="28">
        <v>0.75</v>
      </c>
      <c r="Q614" s="28">
        <v>0.52</v>
      </c>
      <c r="T614" s="28">
        <v>0.51</v>
      </c>
      <c r="W614" s="28">
        <v>0.08</v>
      </c>
      <c r="Z614" s="28">
        <v>0.15</v>
      </c>
      <c r="AC614" s="28">
        <v>0.7</v>
      </c>
      <c r="AF614" s="28">
        <v>0.48</v>
      </c>
      <c r="AI614" s="28">
        <v>0.45</v>
      </c>
      <c r="AL614" s="28">
        <v>0.64500000000000002</v>
      </c>
      <c r="AO614" s="28">
        <v>0.39500000000000002</v>
      </c>
      <c r="AR614" s="28">
        <v>0.40500000000000003</v>
      </c>
      <c r="AU614" s="28">
        <v>0.435</v>
      </c>
      <c r="AX614" s="28">
        <v>0.125</v>
      </c>
      <c r="BA614" s="28">
        <v>0.19</v>
      </c>
    </row>
    <row r="615" spans="1:53" s="28" customFormat="1" ht="21" x14ac:dyDescent="0.35">
      <c r="A615" s="1"/>
      <c r="B615" s="2"/>
      <c r="C615" s="2"/>
      <c r="D615" s="2"/>
      <c r="E615" s="2"/>
      <c r="F615" s="2"/>
      <c r="G615" s="2"/>
      <c r="H615" s="2"/>
      <c r="I615" s="40">
        <v>36540</v>
      </c>
      <c r="J615" s="39">
        <v>0.98978787850000005</v>
      </c>
      <c r="K615" s="28">
        <v>0.505</v>
      </c>
      <c r="N615" s="28">
        <v>0.75</v>
      </c>
      <c r="Q615" s="28">
        <v>0.52</v>
      </c>
      <c r="T615" s="28">
        <v>0.52</v>
      </c>
      <c r="W615" s="28">
        <v>0.08</v>
      </c>
      <c r="Z615" s="28">
        <v>0.15</v>
      </c>
      <c r="AC615" s="28">
        <v>0.7</v>
      </c>
      <c r="AF615" s="28">
        <v>0.48</v>
      </c>
      <c r="AI615" s="28">
        <v>0.45</v>
      </c>
      <c r="AL615" s="28">
        <v>0.65500000000000003</v>
      </c>
      <c r="AO615" s="28">
        <v>0.40500000000000003</v>
      </c>
      <c r="AR615" s="28">
        <v>0.41</v>
      </c>
      <c r="AU615" s="28">
        <v>0.45500000000000002</v>
      </c>
      <c r="AX615" s="28">
        <v>0.13</v>
      </c>
      <c r="BA615" s="28">
        <v>0.2</v>
      </c>
    </row>
    <row r="616" spans="1:53" s="28" customFormat="1" ht="21" x14ac:dyDescent="0.35">
      <c r="A616" s="1"/>
      <c r="B616" s="2"/>
      <c r="C616" s="2"/>
      <c r="D616" s="2"/>
      <c r="E616" s="2"/>
      <c r="F616" s="2"/>
      <c r="G616" s="2"/>
      <c r="H616" s="2"/>
      <c r="I616" s="40">
        <v>36600</v>
      </c>
      <c r="J616" s="39">
        <v>0.97595151499999999</v>
      </c>
      <c r="K616" s="28">
        <v>0.51</v>
      </c>
      <c r="N616" s="28">
        <v>0.75</v>
      </c>
      <c r="Q616" s="28">
        <v>0.53</v>
      </c>
      <c r="T616" s="28">
        <v>0.52</v>
      </c>
      <c r="W616" s="28">
        <v>7.4999999999999997E-2</v>
      </c>
      <c r="Z616" s="28">
        <v>0.15</v>
      </c>
      <c r="AC616" s="28">
        <v>0.7</v>
      </c>
      <c r="AF616" s="28">
        <v>0.48</v>
      </c>
      <c r="AI616" s="28">
        <v>0.45</v>
      </c>
      <c r="AL616" s="28">
        <v>0.66</v>
      </c>
      <c r="AO616" s="28">
        <v>0.41</v>
      </c>
      <c r="AR616" s="28">
        <v>0.42</v>
      </c>
      <c r="AU616" s="28">
        <v>0.46500000000000002</v>
      </c>
      <c r="AX616" s="28">
        <v>0.13</v>
      </c>
      <c r="BA616" s="28">
        <v>0.2</v>
      </c>
    </row>
    <row r="617" spans="1:53" s="28" customFormat="1" ht="21" x14ac:dyDescent="0.35">
      <c r="A617" s="1"/>
      <c r="B617" s="2"/>
      <c r="C617" s="2"/>
      <c r="D617" s="2"/>
      <c r="E617" s="2"/>
      <c r="F617" s="2"/>
      <c r="G617" s="2"/>
      <c r="H617" s="2"/>
      <c r="I617" s="40">
        <v>36660</v>
      </c>
      <c r="J617" s="39">
        <v>0.96343030299999999</v>
      </c>
      <c r="K617" s="28">
        <v>0.51</v>
      </c>
      <c r="N617" s="28">
        <v>0.75</v>
      </c>
      <c r="Q617" s="28">
        <v>0.53</v>
      </c>
      <c r="T617" s="28">
        <v>0.52</v>
      </c>
      <c r="W617" s="28">
        <v>7.0000000000000007E-2</v>
      </c>
      <c r="Z617" s="28">
        <v>0.14000000000000001</v>
      </c>
      <c r="AC617" s="28">
        <v>0.7</v>
      </c>
      <c r="AF617" s="28">
        <v>0.48499999999999999</v>
      </c>
      <c r="AI617" s="28">
        <v>0.45</v>
      </c>
      <c r="AL617" s="28">
        <v>0.67</v>
      </c>
      <c r="AO617" s="28">
        <v>0.42</v>
      </c>
      <c r="AR617" s="28">
        <v>0.42</v>
      </c>
      <c r="AU617" s="28">
        <v>0.47499999999999998</v>
      </c>
      <c r="AX617" s="28">
        <v>0.13</v>
      </c>
      <c r="BA617" s="28">
        <v>0.21</v>
      </c>
    </row>
    <row r="618" spans="1:53" s="28" customFormat="1" ht="21" x14ac:dyDescent="0.35">
      <c r="A618" s="1"/>
      <c r="B618" s="2"/>
      <c r="C618" s="2"/>
      <c r="D618" s="2"/>
      <c r="E618" s="2"/>
      <c r="F618" s="2"/>
      <c r="G618" s="2"/>
      <c r="H618" s="2"/>
      <c r="I618" s="40">
        <v>36720</v>
      </c>
      <c r="J618" s="39">
        <v>0.950918182</v>
      </c>
      <c r="K618" s="28">
        <v>0.51</v>
      </c>
      <c r="N618" s="28">
        <v>0.75</v>
      </c>
      <c r="Q618" s="28">
        <v>0.52500000000000002</v>
      </c>
      <c r="T618" s="28">
        <v>0.51</v>
      </c>
      <c r="W618" s="28">
        <v>0.06</v>
      </c>
      <c r="Z618" s="28">
        <v>0.14000000000000001</v>
      </c>
      <c r="AC618" s="28">
        <v>0.7</v>
      </c>
      <c r="AF618" s="28">
        <v>0.49</v>
      </c>
      <c r="AI618" s="28">
        <v>0.45</v>
      </c>
      <c r="AL618" s="28">
        <v>0.67</v>
      </c>
      <c r="AO618" s="28">
        <v>0.42</v>
      </c>
      <c r="AR618" s="28">
        <v>0.43</v>
      </c>
      <c r="AU618" s="28">
        <v>0.48</v>
      </c>
      <c r="AX618" s="28">
        <v>0.13</v>
      </c>
      <c r="BA618" s="28">
        <v>0.21</v>
      </c>
    </row>
    <row r="619" spans="1:53" s="28" customFormat="1" ht="21" x14ac:dyDescent="0.35">
      <c r="A619" s="1"/>
      <c r="B619" s="2"/>
      <c r="C619" s="2"/>
      <c r="D619" s="2"/>
      <c r="E619" s="2"/>
      <c r="F619" s="2"/>
      <c r="G619" s="2"/>
      <c r="H619" s="2"/>
      <c r="I619" s="40">
        <v>36780</v>
      </c>
      <c r="J619" s="39">
        <v>0.94013939400000002</v>
      </c>
      <c r="K619" s="28">
        <v>0.5</v>
      </c>
      <c r="N619" s="28">
        <v>0.75</v>
      </c>
      <c r="Q619" s="28">
        <v>0.52</v>
      </c>
      <c r="T619" s="28">
        <v>0.51</v>
      </c>
      <c r="W619" s="28">
        <v>5.5E-2</v>
      </c>
      <c r="Z619" s="28">
        <v>0.13500000000000001</v>
      </c>
      <c r="AC619" s="28">
        <v>0.7</v>
      </c>
      <c r="AF619" s="28">
        <v>0.48</v>
      </c>
      <c r="AI619" s="28">
        <v>0.45</v>
      </c>
      <c r="AL619" s="28">
        <v>0.68</v>
      </c>
      <c r="AO619" s="28">
        <v>0.42</v>
      </c>
      <c r="AR619" s="28">
        <v>0.43</v>
      </c>
      <c r="AU619" s="28">
        <v>0.49</v>
      </c>
      <c r="AX619" s="28">
        <v>0.125</v>
      </c>
      <c r="BA619" s="28">
        <v>0.2</v>
      </c>
    </row>
    <row r="620" spans="1:53" s="28" customFormat="1" ht="21" x14ac:dyDescent="0.35">
      <c r="A620" s="1"/>
      <c r="B620" s="2"/>
      <c r="C620" s="2"/>
      <c r="D620" s="2"/>
      <c r="E620" s="2"/>
      <c r="F620" s="2"/>
      <c r="G620" s="2"/>
      <c r="H620" s="2"/>
      <c r="I620" s="40">
        <v>36840</v>
      </c>
      <c r="J620" s="39">
        <v>0.92873939400000005</v>
      </c>
      <c r="K620" s="28">
        <v>0.5</v>
      </c>
      <c r="N620" s="28">
        <v>0.75</v>
      </c>
      <c r="Q620" s="28">
        <v>0.52</v>
      </c>
      <c r="T620" s="28">
        <v>0.51</v>
      </c>
      <c r="W620" s="28">
        <v>0.05</v>
      </c>
      <c r="Z620" s="28">
        <v>0.13</v>
      </c>
      <c r="AC620" s="28">
        <v>0.7</v>
      </c>
      <c r="AF620" s="28">
        <v>0.48</v>
      </c>
      <c r="AI620" s="28">
        <v>0.45</v>
      </c>
      <c r="AL620" s="28">
        <v>0.68</v>
      </c>
      <c r="AO620" s="28">
        <v>0.43</v>
      </c>
      <c r="AR620" s="28">
        <v>0.43</v>
      </c>
      <c r="AU620" s="28">
        <v>0.49</v>
      </c>
      <c r="AX620" s="28">
        <v>0.12</v>
      </c>
      <c r="BA620" s="28">
        <v>0.2</v>
      </c>
    </row>
    <row r="621" spans="1:53" s="28" customFormat="1" ht="21" x14ac:dyDescent="0.35">
      <c r="A621" s="1"/>
      <c r="B621" s="2"/>
      <c r="C621" s="2"/>
      <c r="D621" s="2"/>
      <c r="E621" s="2"/>
      <c r="F621" s="2"/>
      <c r="G621" s="2"/>
      <c r="H621" s="2"/>
      <c r="I621" s="40">
        <v>36900</v>
      </c>
      <c r="J621" s="39">
        <v>0.91847272749999997</v>
      </c>
      <c r="K621" s="28">
        <v>0.5</v>
      </c>
      <c r="N621" s="28">
        <v>0.75</v>
      </c>
      <c r="Q621" s="28">
        <v>0.52</v>
      </c>
      <c r="T621" s="28">
        <v>0.51</v>
      </c>
      <c r="W621" s="28">
        <v>0.04</v>
      </c>
      <c r="Z621" s="28">
        <v>0.125</v>
      </c>
      <c r="AC621" s="28">
        <v>0.7</v>
      </c>
      <c r="AF621" s="28">
        <v>0.48</v>
      </c>
      <c r="AI621" s="28">
        <v>0.45</v>
      </c>
      <c r="AL621" s="28">
        <v>0.68</v>
      </c>
      <c r="AO621" s="28">
        <v>0.43</v>
      </c>
      <c r="AR621" s="28">
        <v>0.435</v>
      </c>
      <c r="AU621" s="28">
        <v>0.5</v>
      </c>
      <c r="AX621" s="28">
        <v>0.12</v>
      </c>
      <c r="BA621" s="28">
        <v>0.2</v>
      </c>
    </row>
    <row r="622" spans="1:53" s="28" customFormat="1" ht="21" x14ac:dyDescent="0.35">
      <c r="A622" s="1"/>
      <c r="B622" s="2"/>
      <c r="C622" s="2"/>
      <c r="D622" s="2"/>
      <c r="E622" s="2"/>
      <c r="F622" s="2"/>
      <c r="G622" s="2"/>
      <c r="H622" s="2"/>
      <c r="I622" s="40">
        <v>36960</v>
      </c>
      <c r="J622" s="39">
        <v>0.90909697</v>
      </c>
      <c r="K622" s="28">
        <v>0.5</v>
      </c>
      <c r="N622" s="28">
        <v>0.75</v>
      </c>
      <c r="Q622" s="28">
        <v>0.52</v>
      </c>
      <c r="T622" s="28">
        <v>0.51</v>
      </c>
      <c r="W622" s="28">
        <v>3.5000000000000003E-2</v>
      </c>
      <c r="Z622" s="28">
        <v>0.12</v>
      </c>
      <c r="AC622" s="28">
        <v>0.7</v>
      </c>
      <c r="AF622" s="28">
        <v>0.48</v>
      </c>
      <c r="AI622" s="28">
        <v>0.45</v>
      </c>
      <c r="AL622" s="28">
        <v>0.68</v>
      </c>
      <c r="AO622" s="28">
        <v>0.43</v>
      </c>
      <c r="AR622" s="28">
        <v>0.44</v>
      </c>
      <c r="AU622" s="28">
        <v>0.5</v>
      </c>
      <c r="AX622" s="28">
        <v>0.115</v>
      </c>
      <c r="BA622" s="28">
        <v>0.2</v>
      </c>
    </row>
    <row r="623" spans="1:53" s="28" customFormat="1" ht="21" x14ac:dyDescent="0.35">
      <c r="A623" s="1"/>
      <c r="B623" s="2"/>
      <c r="C623" s="2"/>
      <c r="D623" s="2"/>
      <c r="E623" s="2"/>
      <c r="F623" s="2"/>
      <c r="G623" s="2"/>
      <c r="H623" s="2"/>
      <c r="I623" s="40">
        <v>37020</v>
      </c>
      <c r="J623" s="39">
        <v>0.89960302999999997</v>
      </c>
      <c r="K623" s="28">
        <v>0.5</v>
      </c>
      <c r="N623" s="28">
        <v>0.74</v>
      </c>
      <c r="Q623" s="28">
        <v>0.52</v>
      </c>
      <c r="T623" s="28">
        <v>0.5</v>
      </c>
      <c r="W623" s="28">
        <v>0.03</v>
      </c>
      <c r="Z623" s="28">
        <v>0.11</v>
      </c>
      <c r="AC623" s="28">
        <v>0.7</v>
      </c>
      <c r="AF623" s="28">
        <v>0.48</v>
      </c>
      <c r="AI623" s="28">
        <v>0.44</v>
      </c>
      <c r="AL623" s="28">
        <v>0.68</v>
      </c>
      <c r="AO623" s="28">
        <v>0.43</v>
      </c>
      <c r="AR623" s="28">
        <v>0.44</v>
      </c>
      <c r="AU623" s="28">
        <v>0.5</v>
      </c>
      <c r="AX623" s="28">
        <v>0.11</v>
      </c>
      <c r="BA623" s="28">
        <v>0.19</v>
      </c>
    </row>
    <row r="624" spans="1:53" s="28" customFormat="1" ht="21" x14ac:dyDescent="0.35">
      <c r="A624" s="1"/>
      <c r="B624" s="2"/>
      <c r="C624" s="2"/>
      <c r="D624" s="2"/>
      <c r="E624" s="2"/>
      <c r="F624" s="2"/>
      <c r="G624" s="2"/>
      <c r="H624" s="2"/>
      <c r="I624" s="40">
        <v>37080</v>
      </c>
      <c r="J624" s="39">
        <v>0.89004848449999996</v>
      </c>
      <c r="K624" s="28">
        <v>0.5</v>
      </c>
      <c r="N624" s="28">
        <v>0.74</v>
      </c>
      <c r="Q624" s="28">
        <v>0.51</v>
      </c>
      <c r="T624" s="28">
        <v>0.5</v>
      </c>
      <c r="W624" s="28">
        <v>0.02</v>
      </c>
      <c r="Z624" s="28">
        <v>0.11</v>
      </c>
      <c r="AC624" s="28">
        <v>0.69499999999999995</v>
      </c>
      <c r="AF624" s="28">
        <v>0.48</v>
      </c>
      <c r="AI624" s="28">
        <v>0.44</v>
      </c>
      <c r="AL624" s="28">
        <v>0.68</v>
      </c>
      <c r="AO624" s="28">
        <v>0.43</v>
      </c>
      <c r="AR624" s="28">
        <v>0.44</v>
      </c>
      <c r="AU624" s="28">
        <v>0.5</v>
      </c>
      <c r="AX624" s="28">
        <v>0.11</v>
      </c>
      <c r="BA624" s="28">
        <v>0.19</v>
      </c>
    </row>
    <row r="625" spans="1:53" s="28" customFormat="1" ht="21" x14ac:dyDescent="0.35">
      <c r="A625" s="1"/>
      <c r="B625" s="2"/>
      <c r="C625" s="2"/>
      <c r="D625" s="2"/>
      <c r="E625" s="2"/>
      <c r="F625" s="2"/>
      <c r="G625" s="2"/>
      <c r="H625" s="2"/>
      <c r="I625" s="40">
        <v>37140</v>
      </c>
      <c r="J625" s="39">
        <v>0.88260000000000005</v>
      </c>
      <c r="K625" s="28">
        <v>0.5</v>
      </c>
      <c r="N625" s="28">
        <v>0.74</v>
      </c>
      <c r="Q625" s="28">
        <v>0.51</v>
      </c>
      <c r="T625" s="28">
        <v>0.5</v>
      </c>
      <c r="W625" s="28">
        <v>0.02</v>
      </c>
      <c r="Z625" s="28">
        <v>0.1</v>
      </c>
      <c r="AC625" s="28">
        <v>0.69</v>
      </c>
      <c r="AF625" s="28">
        <v>0.47</v>
      </c>
      <c r="AI625" s="28">
        <v>0.44</v>
      </c>
      <c r="AL625" s="28">
        <v>0.68</v>
      </c>
      <c r="AO625" s="28">
        <v>0.43</v>
      </c>
      <c r="AR625" s="28">
        <v>0.44</v>
      </c>
      <c r="AU625" s="28">
        <v>0.5</v>
      </c>
      <c r="AX625" s="28">
        <v>0.1</v>
      </c>
      <c r="BA625" s="28">
        <v>0.18</v>
      </c>
    </row>
    <row r="626" spans="1:53" s="28" customFormat="1" ht="21" x14ac:dyDescent="0.35">
      <c r="A626" s="1"/>
      <c r="B626" s="2"/>
      <c r="C626" s="2"/>
      <c r="D626" s="2"/>
      <c r="E626" s="2"/>
      <c r="F626" s="2"/>
      <c r="G626" s="2"/>
      <c r="H626" s="2"/>
      <c r="I626" s="40">
        <v>37200</v>
      </c>
      <c r="J626" s="39">
        <v>0.87374545449999996</v>
      </c>
      <c r="K626" s="28">
        <v>0.5</v>
      </c>
      <c r="N626" s="28">
        <v>0.74</v>
      </c>
      <c r="Q626" s="28">
        <v>0.51</v>
      </c>
      <c r="T626" s="28">
        <v>0.495</v>
      </c>
      <c r="W626" s="28">
        <v>0.01</v>
      </c>
      <c r="Z626" s="28">
        <v>9.5000000000000001E-2</v>
      </c>
      <c r="AC626" s="28">
        <v>0.69</v>
      </c>
      <c r="AF626" s="28">
        <v>0.47</v>
      </c>
      <c r="AI626" s="28">
        <v>0.43</v>
      </c>
      <c r="AL626" s="28">
        <v>0.68</v>
      </c>
      <c r="AO626" s="28">
        <v>0.43</v>
      </c>
      <c r="AR626" s="28">
        <v>0.435</v>
      </c>
      <c r="AU626" s="28">
        <v>0.495</v>
      </c>
      <c r="AX626" s="28">
        <v>0.1</v>
      </c>
      <c r="BA626" s="28">
        <v>0.17499999999999999</v>
      </c>
    </row>
    <row r="627" spans="1:53" s="28" customFormat="1" ht="21" x14ac:dyDescent="0.35">
      <c r="A627" s="1"/>
      <c r="B627" s="2"/>
      <c r="C627" s="2"/>
      <c r="D627" s="2"/>
      <c r="E627" s="2"/>
      <c r="F627" s="2"/>
      <c r="G627" s="2"/>
      <c r="H627" s="2"/>
      <c r="I627" s="40">
        <v>37260</v>
      </c>
      <c r="J627" s="39">
        <v>0.86619696999999996</v>
      </c>
      <c r="K627" s="28">
        <v>0.5</v>
      </c>
      <c r="N627" s="28">
        <v>0.73</v>
      </c>
      <c r="Q627" s="28">
        <v>0.505</v>
      </c>
      <c r="T627" s="28">
        <v>0.49</v>
      </c>
      <c r="W627" s="28">
        <v>0.01</v>
      </c>
      <c r="Z627" s="28">
        <v>0.09</v>
      </c>
      <c r="AC627" s="28">
        <v>0.69</v>
      </c>
      <c r="AF627" s="28">
        <v>0.47</v>
      </c>
      <c r="AI627" s="28">
        <v>0.43</v>
      </c>
      <c r="AL627" s="28">
        <v>0.68</v>
      </c>
      <c r="AO627" s="28">
        <v>0.43</v>
      </c>
      <c r="AR627" s="28">
        <v>0.43</v>
      </c>
      <c r="AU627" s="28">
        <v>0.49</v>
      </c>
      <c r="AX627" s="28">
        <v>0.09</v>
      </c>
      <c r="BA627" s="28">
        <v>0.17</v>
      </c>
    </row>
    <row r="628" spans="1:53" s="28" customFormat="1" ht="21" x14ac:dyDescent="0.35">
      <c r="A628" s="1"/>
      <c r="B628" s="2"/>
      <c r="C628" s="2"/>
      <c r="D628" s="2"/>
      <c r="E628" s="2"/>
      <c r="F628" s="2"/>
      <c r="G628" s="2"/>
      <c r="H628" s="2"/>
      <c r="I628" s="40">
        <v>37320</v>
      </c>
      <c r="J628" s="39">
        <v>0.8588181815</v>
      </c>
      <c r="K628" s="28">
        <v>0.5</v>
      </c>
      <c r="N628" s="28">
        <v>0.73</v>
      </c>
      <c r="Q628" s="28">
        <v>0.5</v>
      </c>
      <c r="T628" s="28">
        <v>0.49</v>
      </c>
      <c r="W628" s="28">
        <v>5.0000000000000001E-3</v>
      </c>
      <c r="Z628" s="28">
        <v>8.5000000000000006E-2</v>
      </c>
      <c r="AC628" s="28">
        <v>0.68</v>
      </c>
      <c r="AF628" s="28">
        <v>0.46</v>
      </c>
      <c r="AI628" s="28">
        <v>0.43</v>
      </c>
      <c r="AL628" s="28">
        <v>0.68</v>
      </c>
      <c r="AO628" s="28">
        <v>0.42499999999999999</v>
      </c>
      <c r="AR628" s="28">
        <v>0.43</v>
      </c>
      <c r="AU628" s="28">
        <v>0.49</v>
      </c>
      <c r="AX628" s="28">
        <v>8.5000000000000006E-2</v>
      </c>
      <c r="BA628" s="28">
        <v>0.16</v>
      </c>
    </row>
    <row r="629" spans="1:53" s="28" customFormat="1" ht="21" x14ac:dyDescent="0.35">
      <c r="A629" s="1"/>
      <c r="B629" s="2"/>
      <c r="C629" s="2"/>
      <c r="D629" s="2"/>
      <c r="E629" s="2"/>
      <c r="F629" s="2"/>
      <c r="G629" s="2"/>
      <c r="H629" s="2"/>
      <c r="I629" s="40">
        <v>37380</v>
      </c>
      <c r="J629" s="39">
        <v>0.85153030299999999</v>
      </c>
      <c r="K629" s="28">
        <v>0.49</v>
      </c>
      <c r="N629" s="28">
        <v>0.73</v>
      </c>
      <c r="Q629" s="28">
        <v>0.5</v>
      </c>
      <c r="T629" s="28">
        <v>0.49</v>
      </c>
      <c r="W629" s="28">
        <v>0</v>
      </c>
      <c r="Z629" s="28">
        <v>0.08</v>
      </c>
      <c r="AC629" s="28">
        <v>0.68</v>
      </c>
      <c r="AF629" s="28">
        <v>0.46</v>
      </c>
      <c r="AI629" s="28">
        <v>0.42</v>
      </c>
      <c r="AL629" s="28">
        <v>0.67500000000000004</v>
      </c>
      <c r="AO629" s="28">
        <v>0.42</v>
      </c>
      <c r="AR629" s="28">
        <v>0.43</v>
      </c>
      <c r="AU629" s="28">
        <v>0.48499999999999999</v>
      </c>
      <c r="AX629" s="28">
        <v>7.4999999999999997E-2</v>
      </c>
      <c r="BA629" s="28">
        <v>0.155</v>
      </c>
    </row>
    <row r="630" spans="1:53" s="28" customFormat="1" ht="21" x14ac:dyDescent="0.35">
      <c r="A630" s="1"/>
      <c r="B630" s="2"/>
      <c r="C630" s="2"/>
      <c r="D630" s="2"/>
      <c r="E630" s="2"/>
      <c r="F630" s="2"/>
      <c r="G630" s="2"/>
      <c r="H630" s="2"/>
      <c r="I630" s="40">
        <v>37440</v>
      </c>
      <c r="J630" s="39">
        <v>0.84424545449999999</v>
      </c>
      <c r="K630" s="28">
        <v>0.49</v>
      </c>
      <c r="N630" s="28">
        <v>0.72499999999999998</v>
      </c>
      <c r="Q630" s="28">
        <v>0.495</v>
      </c>
      <c r="T630" s="28">
        <v>0.48</v>
      </c>
      <c r="W630" s="28">
        <v>0</v>
      </c>
      <c r="Z630" s="28">
        <v>7.4999999999999997E-2</v>
      </c>
      <c r="AC630" s="28">
        <v>0.67500000000000004</v>
      </c>
      <c r="AF630" s="28">
        <v>0.46</v>
      </c>
      <c r="AI630" s="28">
        <v>0.42</v>
      </c>
      <c r="AL630" s="28">
        <v>0.67</v>
      </c>
      <c r="AO630" s="28">
        <v>0.42</v>
      </c>
      <c r="AR630" s="28">
        <v>0.42</v>
      </c>
      <c r="AU630" s="28">
        <v>0.48</v>
      </c>
      <c r="AX630" s="28">
        <v>6.5000000000000002E-2</v>
      </c>
      <c r="BA630" s="28">
        <v>0.15</v>
      </c>
    </row>
    <row r="631" spans="1:53" s="28" customFormat="1" ht="21" x14ac:dyDescent="0.35">
      <c r="A631" s="1"/>
      <c r="B631" s="2"/>
      <c r="C631" s="2"/>
      <c r="D631" s="2"/>
      <c r="E631" s="2"/>
      <c r="F631" s="2"/>
      <c r="G631" s="2"/>
      <c r="H631" s="2"/>
      <c r="I631" s="40">
        <v>37500</v>
      </c>
      <c r="J631" s="39">
        <v>0.83794545450000002</v>
      </c>
      <c r="K631" s="28">
        <v>0.49</v>
      </c>
      <c r="N631" s="28">
        <v>0.72</v>
      </c>
      <c r="Q631" s="28">
        <v>0.49</v>
      </c>
      <c r="T631" s="28">
        <v>0.48</v>
      </c>
      <c r="W631" s="28">
        <v>0</v>
      </c>
      <c r="Z631" s="28">
        <v>7.0000000000000007E-2</v>
      </c>
      <c r="AC631" s="28">
        <v>0.67</v>
      </c>
      <c r="AF631" s="28">
        <v>0.45</v>
      </c>
      <c r="AI631" s="28">
        <v>0.41499999999999998</v>
      </c>
      <c r="AL631" s="28">
        <v>0.67</v>
      </c>
      <c r="AO631" s="28">
        <v>0.41499999999999998</v>
      </c>
      <c r="AR631" s="28">
        <v>0.42</v>
      </c>
      <c r="AU631" s="28">
        <v>0.47499999999999998</v>
      </c>
      <c r="AX631" s="28">
        <v>0.06</v>
      </c>
      <c r="BA631" s="28">
        <v>0.14000000000000001</v>
      </c>
    </row>
    <row r="632" spans="1:53" s="28" customFormat="1" ht="21" x14ac:dyDescent="0.35">
      <c r="A632" s="1"/>
      <c r="B632" s="2"/>
      <c r="C632" s="2"/>
      <c r="D632" s="2"/>
      <c r="E632" s="2"/>
      <c r="F632" s="2"/>
      <c r="G632" s="2"/>
      <c r="H632" s="2"/>
      <c r="I632" s="40">
        <v>37560</v>
      </c>
      <c r="J632" s="39">
        <v>0.83153030299999997</v>
      </c>
      <c r="K632" s="28">
        <v>0.49</v>
      </c>
      <c r="N632" s="28">
        <v>0.72</v>
      </c>
      <c r="Q632" s="28">
        <v>0.49</v>
      </c>
      <c r="T632" s="28">
        <v>0.48</v>
      </c>
      <c r="W632" s="28">
        <v>0</v>
      </c>
      <c r="Z632" s="28">
        <v>6.5000000000000002E-2</v>
      </c>
      <c r="AC632" s="28">
        <v>0.67</v>
      </c>
      <c r="AF632" s="28">
        <v>0.45</v>
      </c>
      <c r="AI632" s="28">
        <v>0.41</v>
      </c>
      <c r="AL632" s="28">
        <v>0.66500000000000004</v>
      </c>
      <c r="AO632" s="28">
        <v>0.41</v>
      </c>
      <c r="AR632" s="28">
        <v>0.42</v>
      </c>
      <c r="AU632" s="28">
        <v>0.47</v>
      </c>
      <c r="AX632" s="28">
        <v>0.05</v>
      </c>
      <c r="BA632" s="28">
        <v>0.13</v>
      </c>
    </row>
    <row r="633" spans="1:53" s="28" customFormat="1" ht="21" x14ac:dyDescent="0.35">
      <c r="A633" s="1"/>
      <c r="B633" s="2"/>
      <c r="C633" s="2"/>
      <c r="D633" s="2"/>
      <c r="E633" s="2"/>
      <c r="F633" s="2"/>
      <c r="G633" s="2"/>
      <c r="H633" s="2"/>
      <c r="I633" s="40">
        <v>37620</v>
      </c>
      <c r="J633" s="39">
        <v>0.82642424250000002</v>
      </c>
      <c r="K633" s="28">
        <v>0.49</v>
      </c>
      <c r="N633" s="28">
        <v>0.72</v>
      </c>
      <c r="Q633" s="28">
        <v>0.49</v>
      </c>
      <c r="T633" s="28">
        <v>0.47</v>
      </c>
      <c r="W633" s="28">
        <v>0</v>
      </c>
      <c r="Z633" s="28">
        <v>0.06</v>
      </c>
      <c r="AC633" s="28">
        <v>0.66</v>
      </c>
      <c r="AF633" s="28">
        <v>0.44500000000000001</v>
      </c>
      <c r="AI633" s="28">
        <v>0.41</v>
      </c>
      <c r="AL633" s="28">
        <v>0.66</v>
      </c>
      <c r="AO633" s="28">
        <v>0.41</v>
      </c>
      <c r="AR633" s="28">
        <v>0.41</v>
      </c>
      <c r="AU633" s="28">
        <v>0.46500000000000002</v>
      </c>
      <c r="AX633" s="28">
        <v>0.05</v>
      </c>
      <c r="BA633" s="28">
        <v>0.125</v>
      </c>
    </row>
    <row r="634" spans="1:53" s="28" customFormat="1" ht="21" x14ac:dyDescent="0.35">
      <c r="A634" s="1"/>
      <c r="B634" s="2"/>
      <c r="C634" s="2"/>
      <c r="D634" s="2"/>
      <c r="E634" s="2"/>
      <c r="F634" s="2"/>
      <c r="G634" s="2"/>
      <c r="H634" s="2"/>
      <c r="I634" s="40">
        <v>37680</v>
      </c>
      <c r="J634" s="39">
        <v>0.82153333350000002</v>
      </c>
      <c r="K634" s="28">
        <v>0.49</v>
      </c>
      <c r="N634" s="28">
        <v>0.71</v>
      </c>
      <c r="Q634" s="28">
        <v>0.48</v>
      </c>
      <c r="T634" s="28">
        <v>0.47</v>
      </c>
      <c r="W634" s="28">
        <v>0</v>
      </c>
      <c r="Z634" s="28">
        <v>0.06</v>
      </c>
      <c r="AC634" s="28">
        <v>0.66</v>
      </c>
      <c r="AF634" s="28">
        <v>0.44</v>
      </c>
      <c r="AI634" s="28">
        <v>0.4</v>
      </c>
      <c r="AL634" s="28">
        <v>0.66</v>
      </c>
      <c r="AO634" s="28">
        <v>0.4</v>
      </c>
      <c r="AR634" s="28">
        <v>0.41</v>
      </c>
      <c r="AU634" s="28">
        <v>0.46</v>
      </c>
      <c r="AX634" s="28">
        <v>0.05</v>
      </c>
      <c r="BA634" s="28">
        <v>0.115</v>
      </c>
    </row>
    <row r="635" spans="1:53" s="28" customFormat="1" ht="21" x14ac:dyDescent="0.35">
      <c r="A635" s="1"/>
      <c r="B635" s="2"/>
      <c r="C635" s="2"/>
      <c r="D635" s="2"/>
      <c r="E635" s="2"/>
      <c r="F635" s="2"/>
      <c r="G635" s="2"/>
      <c r="H635" s="2"/>
      <c r="I635" s="40">
        <v>37740</v>
      </c>
      <c r="J635" s="39">
        <v>0.81666666649999997</v>
      </c>
      <c r="K635" s="28">
        <v>0.49</v>
      </c>
      <c r="N635" s="28">
        <v>0.71</v>
      </c>
      <c r="Q635" s="28">
        <v>0.48</v>
      </c>
      <c r="T635" s="28">
        <v>0.47</v>
      </c>
      <c r="W635" s="28">
        <v>0</v>
      </c>
      <c r="Z635" s="28">
        <v>0.05</v>
      </c>
      <c r="AC635" s="28">
        <v>0.65500000000000003</v>
      </c>
      <c r="AF635" s="28">
        <v>0.44</v>
      </c>
      <c r="AI635" s="28">
        <v>0.4</v>
      </c>
      <c r="AL635" s="28">
        <v>0.65</v>
      </c>
      <c r="AO635" s="28">
        <v>0.4</v>
      </c>
      <c r="AR635" s="28">
        <v>0.4</v>
      </c>
      <c r="AU635" s="28">
        <v>0.45500000000000002</v>
      </c>
      <c r="AX635" s="28">
        <v>0.05</v>
      </c>
      <c r="BA635" s="28">
        <v>0.11</v>
      </c>
    </row>
    <row r="636" spans="1:53" s="28" customFormat="1" ht="21" x14ac:dyDescent="0.35">
      <c r="A636" s="1"/>
      <c r="B636" s="2"/>
      <c r="C636" s="2"/>
      <c r="D636" s="2"/>
      <c r="E636" s="2"/>
      <c r="F636" s="2"/>
      <c r="G636" s="2"/>
      <c r="H636" s="2"/>
      <c r="I636" s="40">
        <v>37800</v>
      </c>
      <c r="J636" s="39">
        <v>0.81133939399999999</v>
      </c>
      <c r="K636" s="28">
        <v>0.49</v>
      </c>
      <c r="N636" s="28">
        <v>0.71</v>
      </c>
      <c r="Q636" s="28">
        <v>0.48</v>
      </c>
      <c r="T636" s="28">
        <v>0.46500000000000002</v>
      </c>
      <c r="W636" s="28">
        <v>0</v>
      </c>
      <c r="Z636" s="28">
        <v>0.05</v>
      </c>
      <c r="AC636" s="28">
        <v>0.65</v>
      </c>
      <c r="AF636" s="28">
        <v>0.43</v>
      </c>
      <c r="AI636" s="28">
        <v>0.39500000000000002</v>
      </c>
      <c r="AL636" s="28">
        <v>0.65</v>
      </c>
      <c r="AO636" s="28">
        <v>0.39</v>
      </c>
      <c r="AR636" s="28">
        <v>0.4</v>
      </c>
      <c r="AU636" s="28">
        <v>0.45</v>
      </c>
      <c r="AX636" s="28">
        <v>4.4999999999999998E-2</v>
      </c>
      <c r="BA636" s="28">
        <v>0.1</v>
      </c>
    </row>
    <row r="637" spans="1:53" s="28" customFormat="1" ht="21" x14ac:dyDescent="0.35">
      <c r="A637" s="1"/>
      <c r="B637" s="2"/>
      <c r="C637" s="2"/>
      <c r="D637" s="2"/>
      <c r="E637" s="2"/>
      <c r="F637" s="2"/>
      <c r="G637" s="2"/>
      <c r="H637" s="2"/>
      <c r="I637" s="40">
        <v>37860</v>
      </c>
      <c r="J637" s="39">
        <v>0.80675151499999997</v>
      </c>
      <c r="K637" s="28">
        <v>0.49</v>
      </c>
      <c r="N637" s="28">
        <v>0.70499999999999996</v>
      </c>
      <c r="Q637" s="28">
        <v>0.47499999999999998</v>
      </c>
      <c r="T637" s="28">
        <v>0.46</v>
      </c>
      <c r="W637" s="28">
        <v>0</v>
      </c>
      <c r="Z637" s="28">
        <v>0.05</v>
      </c>
      <c r="AC637" s="28">
        <v>0.65</v>
      </c>
      <c r="AF637" s="28">
        <v>0.43</v>
      </c>
      <c r="AI637" s="28">
        <v>0.39</v>
      </c>
      <c r="AL637" s="28">
        <v>0.64</v>
      </c>
      <c r="AO637" s="28">
        <v>0.39</v>
      </c>
      <c r="AR637" s="28">
        <v>0.39500000000000002</v>
      </c>
      <c r="AU637" s="28">
        <v>0.44</v>
      </c>
      <c r="AX637" s="28">
        <v>0.04</v>
      </c>
      <c r="BA637" s="28">
        <v>9.5000000000000001E-2</v>
      </c>
    </row>
    <row r="638" spans="1:53" s="28" customFormat="1" ht="21" x14ac:dyDescent="0.35">
      <c r="A638" s="1"/>
      <c r="B638" s="2"/>
      <c r="C638" s="2"/>
      <c r="D638" s="2"/>
      <c r="E638" s="2"/>
      <c r="F638" s="2"/>
      <c r="G638" s="2"/>
      <c r="H638" s="2"/>
      <c r="I638" s="40">
        <v>37920</v>
      </c>
      <c r="J638" s="39">
        <v>0.80158181799999995</v>
      </c>
      <c r="K638" s="28">
        <v>0.48</v>
      </c>
      <c r="N638" s="28">
        <v>0.7</v>
      </c>
      <c r="Q638" s="28">
        <v>0.47</v>
      </c>
      <c r="T638" s="28">
        <v>0.46</v>
      </c>
      <c r="W638" s="28">
        <v>0</v>
      </c>
      <c r="Z638" s="28">
        <v>0.04</v>
      </c>
      <c r="AC638" s="28">
        <v>0.64</v>
      </c>
      <c r="AF638" s="28">
        <v>0.42499999999999999</v>
      </c>
      <c r="AI638" s="28">
        <v>0.38500000000000001</v>
      </c>
      <c r="AL638" s="28">
        <v>0.64</v>
      </c>
      <c r="AO638" s="28">
        <v>0.38500000000000001</v>
      </c>
      <c r="AR638" s="28">
        <v>0.39</v>
      </c>
      <c r="AU638" s="28">
        <v>0.435</v>
      </c>
      <c r="AX638" s="28">
        <v>0.03</v>
      </c>
      <c r="BA638" s="28">
        <v>8.5000000000000006E-2</v>
      </c>
    </row>
    <row r="639" spans="1:53" s="28" customFormat="1" ht="21" x14ac:dyDescent="0.35">
      <c r="A639" s="1"/>
      <c r="B639" s="2"/>
      <c r="C639" s="2"/>
      <c r="D639" s="2"/>
      <c r="E639" s="2"/>
      <c r="F639" s="2"/>
      <c r="G639" s="2"/>
      <c r="H639" s="2"/>
      <c r="I639" s="40">
        <v>37980</v>
      </c>
      <c r="J639" s="39">
        <v>0.79683636349999998</v>
      </c>
      <c r="K639" s="28">
        <v>0.48</v>
      </c>
      <c r="N639" s="28">
        <v>0.7</v>
      </c>
      <c r="Q639" s="28">
        <v>0.47</v>
      </c>
      <c r="T639" s="28">
        <v>0.45500000000000002</v>
      </c>
      <c r="W639" s="28">
        <v>0</v>
      </c>
      <c r="Z639" s="28">
        <v>0.04</v>
      </c>
      <c r="AC639" s="28">
        <v>0.64</v>
      </c>
      <c r="AF639" s="28">
        <v>0.42</v>
      </c>
      <c r="AI639" s="28">
        <v>0.38</v>
      </c>
      <c r="AL639" s="28">
        <v>0.63</v>
      </c>
      <c r="AO639" s="28">
        <v>0.38</v>
      </c>
      <c r="AR639" s="28">
        <v>0.38500000000000001</v>
      </c>
      <c r="AU639" s="28">
        <v>0.43</v>
      </c>
      <c r="AX639" s="28">
        <v>0.02</v>
      </c>
      <c r="BA639" s="28">
        <v>7.4999999999999997E-2</v>
      </c>
    </row>
    <row r="640" spans="1:53" s="28" customFormat="1" ht="21" x14ac:dyDescent="0.35">
      <c r="A640" s="1"/>
      <c r="B640" s="2"/>
      <c r="C640" s="2"/>
      <c r="D640" s="2"/>
      <c r="E640" s="2"/>
      <c r="F640" s="2"/>
      <c r="G640" s="2"/>
      <c r="H640" s="2"/>
      <c r="I640" s="40">
        <v>38040</v>
      </c>
      <c r="J640" s="39">
        <v>0.79206969650000003</v>
      </c>
      <c r="K640" s="28">
        <v>0.48</v>
      </c>
      <c r="N640" s="28">
        <v>0.69499999999999995</v>
      </c>
      <c r="Q640" s="28">
        <v>0.46500000000000002</v>
      </c>
      <c r="T640" s="28">
        <v>0.45</v>
      </c>
      <c r="W640" s="28">
        <v>0</v>
      </c>
      <c r="Z640" s="28">
        <v>0.03</v>
      </c>
      <c r="AC640" s="28">
        <v>0.63500000000000001</v>
      </c>
      <c r="AF640" s="28">
        <v>0.41499999999999998</v>
      </c>
      <c r="AI640" s="28">
        <v>0.38</v>
      </c>
      <c r="AL640" s="28">
        <v>0.63</v>
      </c>
      <c r="AO640" s="28">
        <v>0.37</v>
      </c>
      <c r="AR640" s="28">
        <v>0.38</v>
      </c>
      <c r="AU640" s="28">
        <v>0.42</v>
      </c>
      <c r="AX640" s="28">
        <v>0.01</v>
      </c>
      <c r="BA640" s="28">
        <v>0.06</v>
      </c>
    </row>
    <row r="641" spans="1:53" s="28" customFormat="1" ht="21" x14ac:dyDescent="0.35">
      <c r="A641" s="1"/>
      <c r="B641" s="2"/>
      <c r="C641" s="2"/>
      <c r="D641" s="2"/>
      <c r="E641" s="2"/>
      <c r="F641" s="2"/>
      <c r="G641" s="2"/>
      <c r="H641" s="2"/>
      <c r="I641" s="40">
        <v>38100</v>
      </c>
      <c r="J641" s="39">
        <v>0.78716060649999997</v>
      </c>
      <c r="K641" s="28">
        <v>0.48</v>
      </c>
      <c r="N641" s="28">
        <v>0.69</v>
      </c>
      <c r="Q641" s="28">
        <v>0.46</v>
      </c>
      <c r="T641" s="28">
        <v>0.45</v>
      </c>
      <c r="W641" s="28">
        <v>0</v>
      </c>
      <c r="Z641" s="28">
        <v>2.5000000000000001E-2</v>
      </c>
      <c r="AC641" s="28">
        <v>0.63</v>
      </c>
      <c r="AF641" s="28">
        <v>0.41</v>
      </c>
      <c r="AI641" s="28">
        <v>0.37</v>
      </c>
      <c r="AL641" s="28">
        <v>0.62</v>
      </c>
      <c r="AO641" s="28">
        <v>0.36499999999999999</v>
      </c>
      <c r="AR641" s="28">
        <v>0.37</v>
      </c>
      <c r="AU641" s="28">
        <v>0.41499999999999998</v>
      </c>
      <c r="AX641" s="28">
        <v>0</v>
      </c>
      <c r="BA641" s="28">
        <v>4.4999999999999998E-2</v>
      </c>
    </row>
    <row r="642" spans="1:53" s="28" customFormat="1" ht="21" x14ac:dyDescent="0.35">
      <c r="A642" s="1"/>
      <c r="B642" s="2"/>
      <c r="C642" s="2"/>
      <c r="D642" s="2"/>
      <c r="E642" s="2"/>
      <c r="F642" s="2"/>
      <c r="G642" s="2"/>
      <c r="H642" s="2"/>
      <c r="I642" s="40">
        <v>38160</v>
      </c>
      <c r="J642" s="39">
        <v>0.78236363600000003</v>
      </c>
      <c r="K642" s="28">
        <v>0.48</v>
      </c>
      <c r="N642" s="28">
        <v>0.69</v>
      </c>
      <c r="Q642" s="28">
        <v>0.46</v>
      </c>
      <c r="T642" s="28">
        <v>0.44500000000000001</v>
      </c>
      <c r="W642" s="28">
        <v>0</v>
      </c>
      <c r="Z642" s="28">
        <v>0.02</v>
      </c>
      <c r="AC642" s="28">
        <v>0.625</v>
      </c>
      <c r="AF642" s="28">
        <v>0.40500000000000003</v>
      </c>
      <c r="AI642" s="28">
        <v>0.37</v>
      </c>
      <c r="AL642" s="28">
        <v>0.61499999999999999</v>
      </c>
      <c r="AO642" s="28">
        <v>0.36</v>
      </c>
      <c r="AR642" s="28">
        <v>0.36499999999999999</v>
      </c>
      <c r="AU642" s="28">
        <v>0.40500000000000003</v>
      </c>
      <c r="AX642" s="28">
        <v>0</v>
      </c>
      <c r="BA642" s="28">
        <v>3.5000000000000003E-2</v>
      </c>
    </row>
    <row r="643" spans="1:53" s="28" customFormat="1" ht="21" x14ac:dyDescent="0.35">
      <c r="A643" s="1"/>
      <c r="B643" s="2"/>
      <c r="C643" s="2"/>
      <c r="D643" s="2"/>
      <c r="E643" s="2"/>
      <c r="F643" s="2"/>
      <c r="G643" s="2"/>
      <c r="H643" s="2"/>
      <c r="I643" s="40">
        <v>38220</v>
      </c>
      <c r="J643" s="39">
        <v>0.77739999999999998</v>
      </c>
      <c r="K643" s="28">
        <v>0.48</v>
      </c>
      <c r="N643" s="28">
        <v>0.68500000000000005</v>
      </c>
      <c r="Q643" s="28">
        <v>0.45500000000000002</v>
      </c>
      <c r="T643" s="28">
        <v>0.44</v>
      </c>
      <c r="W643" s="28">
        <v>0</v>
      </c>
      <c r="Z643" s="28">
        <v>1.4999999999999999E-2</v>
      </c>
      <c r="AC643" s="28">
        <v>0.62</v>
      </c>
      <c r="AF643" s="28">
        <v>0.4</v>
      </c>
      <c r="AI643" s="28">
        <v>0.36</v>
      </c>
      <c r="AL643" s="28">
        <v>0.61</v>
      </c>
      <c r="AO643" s="28">
        <v>0.35</v>
      </c>
      <c r="AR643" s="28">
        <v>0.36</v>
      </c>
      <c r="AU643" s="28">
        <v>0.39500000000000002</v>
      </c>
      <c r="AX643" s="28">
        <v>0</v>
      </c>
      <c r="BA643" s="28">
        <v>0.02</v>
      </c>
    </row>
    <row r="644" spans="1:53" s="28" customFormat="1" ht="21" x14ac:dyDescent="0.35">
      <c r="A644" s="1"/>
      <c r="B644" s="2"/>
      <c r="C644" s="2"/>
      <c r="D644" s="2"/>
      <c r="E644" s="2"/>
      <c r="F644" s="2"/>
      <c r="G644" s="2"/>
      <c r="H644" s="2"/>
      <c r="I644" s="40">
        <v>38280</v>
      </c>
      <c r="J644" s="39">
        <v>0.77263939400000003</v>
      </c>
      <c r="K644" s="28">
        <v>0.48</v>
      </c>
      <c r="N644" s="28">
        <v>0.68</v>
      </c>
      <c r="Q644" s="28">
        <v>0.45</v>
      </c>
      <c r="T644" s="28">
        <v>0.44</v>
      </c>
      <c r="W644" s="28">
        <v>0</v>
      </c>
      <c r="Z644" s="28">
        <v>0.01</v>
      </c>
      <c r="AC644" s="28">
        <v>0.61499999999999999</v>
      </c>
      <c r="AF644" s="28">
        <v>0.39500000000000002</v>
      </c>
      <c r="AI644" s="28">
        <v>0.36</v>
      </c>
      <c r="AL644" s="28">
        <v>0.6</v>
      </c>
      <c r="AO644" s="28">
        <v>0.34499999999999997</v>
      </c>
      <c r="AR644" s="28">
        <v>0.35</v>
      </c>
      <c r="AU644" s="28">
        <v>0.39</v>
      </c>
      <c r="AX644" s="28">
        <v>0</v>
      </c>
      <c r="BA644" s="28">
        <v>0.01</v>
      </c>
    </row>
    <row r="645" spans="1:53" s="28" customFormat="1" ht="21" x14ac:dyDescent="0.35">
      <c r="A645" s="1"/>
      <c r="B645" s="2"/>
      <c r="C645" s="2"/>
      <c r="D645" s="2"/>
      <c r="E645" s="2"/>
      <c r="F645" s="2"/>
      <c r="G645" s="2"/>
      <c r="H645" s="2"/>
      <c r="I645" s="40">
        <v>38340</v>
      </c>
      <c r="J645" s="39">
        <v>0.76796060649999998</v>
      </c>
      <c r="K645" s="28">
        <v>0.47499999999999998</v>
      </c>
      <c r="N645" s="28">
        <v>0.68</v>
      </c>
      <c r="Q645" s="28">
        <v>0.45</v>
      </c>
      <c r="T645" s="28">
        <v>0.435</v>
      </c>
      <c r="W645" s="28">
        <v>0</v>
      </c>
      <c r="Z645" s="28">
        <v>5.0000000000000001E-3</v>
      </c>
      <c r="AC645" s="28">
        <v>0.61</v>
      </c>
      <c r="AF645" s="28">
        <v>0.39</v>
      </c>
      <c r="AI645" s="28">
        <v>0.35</v>
      </c>
      <c r="AL645" s="28">
        <v>0.59499999999999997</v>
      </c>
      <c r="AO645" s="28">
        <v>0.34</v>
      </c>
      <c r="AR645" s="28">
        <v>0.34499999999999997</v>
      </c>
      <c r="AU645" s="28">
        <v>0.38</v>
      </c>
      <c r="AX645" s="28">
        <v>0</v>
      </c>
      <c r="BA645" s="28">
        <v>5.0000000000000001E-3</v>
      </c>
    </row>
    <row r="646" spans="1:53" s="28" customFormat="1" ht="21" x14ac:dyDescent="0.35">
      <c r="A646" s="1"/>
      <c r="B646" s="2"/>
      <c r="C646" s="2"/>
      <c r="D646" s="2"/>
      <c r="E646" s="2"/>
      <c r="F646" s="2"/>
      <c r="G646" s="2"/>
      <c r="H646" s="2"/>
      <c r="I646" s="40">
        <v>38400</v>
      </c>
      <c r="J646" s="39">
        <v>0.76377575750000004</v>
      </c>
      <c r="K646" s="28">
        <v>0.47</v>
      </c>
      <c r="N646" s="28">
        <v>0.67500000000000004</v>
      </c>
      <c r="Q646" s="28">
        <v>0.44</v>
      </c>
      <c r="T646" s="28">
        <v>0.43</v>
      </c>
      <c r="W646" s="28">
        <v>0</v>
      </c>
      <c r="Z646" s="28">
        <v>0</v>
      </c>
      <c r="AC646" s="28">
        <v>0.60499999999999998</v>
      </c>
      <c r="AF646" s="28">
        <v>0.39</v>
      </c>
      <c r="AI646" s="28">
        <v>0.35</v>
      </c>
      <c r="AL646" s="28">
        <v>0.59</v>
      </c>
      <c r="AO646" s="28">
        <v>0.33</v>
      </c>
      <c r="AR646" s="28">
        <v>0.34</v>
      </c>
      <c r="AU646" s="28">
        <v>0.37</v>
      </c>
      <c r="AX646" s="28">
        <v>0</v>
      </c>
      <c r="BA646" s="28">
        <v>0</v>
      </c>
    </row>
    <row r="647" spans="1:53" s="28" customFormat="1" ht="21" x14ac:dyDescent="0.35">
      <c r="A647" s="1"/>
      <c r="B647" s="2"/>
      <c r="C647" s="2"/>
      <c r="D647" s="2"/>
      <c r="E647" s="2"/>
      <c r="F647" s="2"/>
      <c r="G647" s="2"/>
      <c r="H647" s="2"/>
      <c r="I647" s="40">
        <v>38460</v>
      </c>
      <c r="J647" s="39">
        <v>0.75874242400000003</v>
      </c>
      <c r="K647" s="28">
        <v>0.47</v>
      </c>
      <c r="N647" s="28">
        <v>0.67</v>
      </c>
      <c r="Q647" s="28">
        <v>0.44</v>
      </c>
      <c r="T647" s="28">
        <v>0.43</v>
      </c>
      <c r="W647" s="28">
        <v>0</v>
      </c>
      <c r="Z647" s="28">
        <v>0</v>
      </c>
      <c r="AC647" s="28">
        <v>0.6</v>
      </c>
      <c r="AF647" s="28">
        <v>0.38</v>
      </c>
      <c r="AI647" s="28">
        <v>0.34</v>
      </c>
      <c r="AL647" s="28">
        <v>0.57999999999999996</v>
      </c>
      <c r="AO647" s="28">
        <v>0.32500000000000001</v>
      </c>
      <c r="AR647" s="28">
        <v>0.33</v>
      </c>
      <c r="AU647" s="28">
        <v>0.36499999999999999</v>
      </c>
      <c r="AX647" s="28">
        <v>0</v>
      </c>
      <c r="BA647" s="28">
        <v>0</v>
      </c>
    </row>
    <row r="648" spans="1:53" s="28" customFormat="1" ht="21" x14ac:dyDescent="0.35">
      <c r="A648" s="1"/>
      <c r="B648" s="2"/>
      <c r="C648" s="2"/>
      <c r="D648" s="2"/>
      <c r="E648" s="2"/>
      <c r="F648" s="2"/>
      <c r="G648" s="2"/>
      <c r="H648" s="2"/>
      <c r="I648" s="40">
        <v>38520</v>
      </c>
      <c r="J648" s="39">
        <v>0.75309393899999999</v>
      </c>
      <c r="K648" s="28">
        <v>0.47</v>
      </c>
      <c r="N648" s="28">
        <v>0.67</v>
      </c>
      <c r="Q648" s="28">
        <v>0.44</v>
      </c>
      <c r="T648" s="28">
        <v>0.42</v>
      </c>
      <c r="W648" s="28">
        <v>0</v>
      </c>
      <c r="Z648" s="28">
        <v>0</v>
      </c>
      <c r="AC648" s="28">
        <v>0.59499999999999997</v>
      </c>
      <c r="AF648" s="28">
        <v>0.38</v>
      </c>
      <c r="AI648" s="28">
        <v>0.34</v>
      </c>
      <c r="AL648" s="28">
        <v>0.57499999999999996</v>
      </c>
      <c r="AO648" s="28">
        <v>0.32</v>
      </c>
      <c r="AR648" s="28">
        <v>0.32500000000000001</v>
      </c>
      <c r="AU648" s="28">
        <v>0.35499999999999998</v>
      </c>
      <c r="AX648" s="28">
        <v>0</v>
      </c>
      <c r="BA648" s="28">
        <v>0</v>
      </c>
    </row>
    <row r="649" spans="1:53" s="28" customFormat="1" ht="21" x14ac:dyDescent="0.35">
      <c r="A649" s="1"/>
      <c r="B649" s="2"/>
      <c r="C649" s="2"/>
      <c r="D649" s="2"/>
      <c r="E649" s="2"/>
      <c r="F649" s="2"/>
      <c r="G649" s="2"/>
      <c r="H649" s="2"/>
      <c r="I649" s="40">
        <v>38580</v>
      </c>
      <c r="J649" s="39">
        <v>0.74823939350000002</v>
      </c>
      <c r="K649" s="28">
        <v>0.47</v>
      </c>
      <c r="N649" s="28">
        <v>0.66500000000000004</v>
      </c>
      <c r="Q649" s="28">
        <v>0.43</v>
      </c>
      <c r="T649" s="28">
        <v>0.42</v>
      </c>
      <c r="W649" s="28">
        <v>0</v>
      </c>
      <c r="Z649" s="28">
        <v>0</v>
      </c>
      <c r="AC649" s="28">
        <v>0.59</v>
      </c>
      <c r="AF649" s="28">
        <v>0.37</v>
      </c>
      <c r="AI649" s="28">
        <v>0.33</v>
      </c>
      <c r="AL649" s="28">
        <v>0.56999999999999995</v>
      </c>
      <c r="AO649" s="28">
        <v>0.31</v>
      </c>
      <c r="AR649" s="28">
        <v>0.32</v>
      </c>
      <c r="AU649" s="28">
        <v>0.34499999999999997</v>
      </c>
      <c r="AX649" s="28">
        <v>0</v>
      </c>
      <c r="BA649" s="28">
        <v>0</v>
      </c>
    </row>
    <row r="650" spans="1:53" s="28" customFormat="1" ht="21" x14ac:dyDescent="0.35">
      <c r="A650" s="1"/>
      <c r="B650" s="2"/>
      <c r="C650" s="2"/>
      <c r="D650" s="2"/>
      <c r="E650" s="2"/>
      <c r="F650" s="2"/>
      <c r="G650" s="2"/>
      <c r="H650" s="2"/>
      <c r="I650" s="40">
        <v>38640</v>
      </c>
      <c r="J650" s="39">
        <v>0.74333636400000003</v>
      </c>
      <c r="K650" s="28">
        <v>0.47</v>
      </c>
      <c r="N650" s="28">
        <v>0.66</v>
      </c>
      <c r="Q650" s="28">
        <v>0.43</v>
      </c>
      <c r="T650" s="28">
        <v>0.42</v>
      </c>
      <c r="W650" s="28">
        <v>0</v>
      </c>
      <c r="Z650" s="28">
        <v>0</v>
      </c>
      <c r="AC650" s="28">
        <v>0.59</v>
      </c>
      <c r="AF650" s="28">
        <v>0.37</v>
      </c>
      <c r="AI650" s="28">
        <v>0.33</v>
      </c>
      <c r="AL650" s="28">
        <v>0.56000000000000005</v>
      </c>
      <c r="AO650" s="28">
        <v>0.30499999999999999</v>
      </c>
      <c r="AR650" s="28">
        <v>0.31</v>
      </c>
      <c r="AU650" s="28">
        <v>0.34</v>
      </c>
      <c r="AX650" s="28">
        <v>0</v>
      </c>
      <c r="BA650" s="28">
        <v>0</v>
      </c>
    </row>
    <row r="651" spans="1:53" s="28" customFormat="1" ht="21" x14ac:dyDescent="0.35">
      <c r="A651" s="1"/>
      <c r="B651" s="2"/>
      <c r="C651" s="2"/>
      <c r="D651" s="2"/>
      <c r="E651" s="2"/>
      <c r="F651" s="2"/>
      <c r="G651" s="2"/>
      <c r="H651" s="2"/>
      <c r="I651" s="40">
        <v>38700</v>
      </c>
      <c r="J651" s="39">
        <v>0.73838787849999998</v>
      </c>
      <c r="K651" s="28">
        <v>0.47</v>
      </c>
      <c r="N651" s="28">
        <v>0.66</v>
      </c>
      <c r="Q651" s="28">
        <v>0.42499999999999999</v>
      </c>
      <c r="T651" s="28">
        <v>0.41</v>
      </c>
      <c r="W651" s="28">
        <v>0</v>
      </c>
      <c r="Z651" s="28">
        <v>0</v>
      </c>
      <c r="AC651" s="28">
        <v>0.57999999999999996</v>
      </c>
      <c r="AF651" s="28">
        <v>0.36</v>
      </c>
      <c r="AI651" s="28">
        <v>0.32</v>
      </c>
      <c r="AL651" s="28">
        <v>0.55500000000000005</v>
      </c>
      <c r="AO651" s="28">
        <v>0.29499999999999998</v>
      </c>
      <c r="AR651" s="28">
        <v>0.3</v>
      </c>
      <c r="AU651" s="28">
        <v>0.33</v>
      </c>
      <c r="AX651" s="28">
        <v>0</v>
      </c>
      <c r="BA651" s="28">
        <v>0</v>
      </c>
    </row>
    <row r="652" spans="1:53" s="28" customFormat="1" ht="21" x14ac:dyDescent="0.35">
      <c r="A652" s="1"/>
      <c r="B652" s="2"/>
      <c r="C652" s="2"/>
      <c r="D652" s="2"/>
      <c r="E652" s="2"/>
      <c r="F652" s="2"/>
      <c r="G652" s="2"/>
      <c r="H652" s="2"/>
      <c r="I652" s="40">
        <v>38760</v>
      </c>
      <c r="J652" s="39">
        <v>0.73234848500000005</v>
      </c>
      <c r="K652" s="28">
        <v>0.47</v>
      </c>
      <c r="N652" s="28">
        <v>0.65500000000000003</v>
      </c>
      <c r="Q652" s="28">
        <v>0.42</v>
      </c>
      <c r="T652" s="28">
        <v>0.41</v>
      </c>
      <c r="W652" s="28">
        <v>0</v>
      </c>
      <c r="Z652" s="28">
        <v>0</v>
      </c>
      <c r="AC652" s="28">
        <v>0.57999999999999996</v>
      </c>
      <c r="AF652" s="28">
        <v>0.36</v>
      </c>
      <c r="AI652" s="28">
        <v>0.32</v>
      </c>
      <c r="AL652" s="28">
        <v>0.55000000000000004</v>
      </c>
      <c r="AO652" s="28">
        <v>0.28999999999999998</v>
      </c>
      <c r="AR652" s="28">
        <v>0.3</v>
      </c>
      <c r="AU652" s="28">
        <v>0.32</v>
      </c>
      <c r="AX652" s="28">
        <v>0</v>
      </c>
      <c r="BA652" s="28">
        <v>0</v>
      </c>
    </row>
    <row r="653" spans="1:53" s="28" customFormat="1" ht="21" x14ac:dyDescent="0.35">
      <c r="A653" s="1"/>
      <c r="B653" s="2"/>
      <c r="C653" s="2"/>
      <c r="D653" s="2"/>
      <c r="E653" s="2"/>
      <c r="F653" s="2"/>
      <c r="G653" s="2"/>
      <c r="H653" s="2"/>
      <c r="I653" s="40">
        <v>38820</v>
      </c>
      <c r="J653" s="39">
        <v>0.72713939350000001</v>
      </c>
      <c r="K653" s="28">
        <v>0.46500000000000002</v>
      </c>
      <c r="N653" s="28">
        <v>0.65</v>
      </c>
      <c r="Q653" s="28">
        <v>0.42</v>
      </c>
      <c r="T653" s="28">
        <v>0.41</v>
      </c>
      <c r="W653" s="28">
        <v>0</v>
      </c>
      <c r="Z653" s="28">
        <v>0</v>
      </c>
      <c r="AC653" s="28">
        <v>0.57499999999999996</v>
      </c>
      <c r="AF653" s="28">
        <v>0.36</v>
      </c>
      <c r="AI653" s="28">
        <v>0.32</v>
      </c>
      <c r="AL653" s="28">
        <v>0.54</v>
      </c>
      <c r="AO653" s="28">
        <v>0.28999999999999998</v>
      </c>
      <c r="AR653" s="28">
        <v>0.28999999999999998</v>
      </c>
      <c r="AU653" s="28">
        <v>0.32</v>
      </c>
      <c r="AX653" s="28">
        <v>0</v>
      </c>
      <c r="BA653" s="28">
        <v>0</v>
      </c>
    </row>
    <row r="654" spans="1:53" s="28" customFormat="1" ht="21" x14ac:dyDescent="0.35">
      <c r="A654" s="1"/>
      <c r="B654" s="2"/>
      <c r="C654" s="2"/>
      <c r="D654" s="2"/>
      <c r="E654" s="2"/>
      <c r="F654" s="2"/>
      <c r="G654" s="2"/>
      <c r="H654" s="2"/>
      <c r="I654" s="40"/>
      <c r="J654" s="39"/>
    </row>
    <row r="655" spans="1:53" s="28" customFormat="1" ht="21" x14ac:dyDescent="0.35">
      <c r="A655" s="1"/>
      <c r="B655" s="2"/>
      <c r="C655" s="2"/>
      <c r="D655" s="2"/>
      <c r="E655" s="2"/>
      <c r="F655" s="2"/>
      <c r="G655" s="2"/>
      <c r="H655" s="2"/>
      <c r="I655" s="40"/>
      <c r="J655" s="39"/>
    </row>
    <row r="656" spans="1:53" s="28" customFormat="1" ht="21" x14ac:dyDescent="0.35">
      <c r="A656" s="1"/>
      <c r="B656" s="2"/>
      <c r="C656" s="2"/>
      <c r="D656" s="2"/>
      <c r="E656" s="2"/>
      <c r="F656" s="2"/>
      <c r="G656" s="2"/>
      <c r="H656" s="2"/>
      <c r="I656" s="40"/>
      <c r="J656" s="39"/>
    </row>
    <row r="657" spans="1:10" s="28" customFormat="1" ht="21" x14ac:dyDescent="0.35">
      <c r="A657" s="1"/>
      <c r="B657" s="2"/>
      <c r="C657" s="2"/>
      <c r="D657" s="2"/>
      <c r="E657" s="2"/>
      <c r="F657" s="2"/>
      <c r="G657" s="2"/>
      <c r="H657" s="2"/>
      <c r="I657" s="40"/>
      <c r="J657" s="39"/>
    </row>
    <row r="658" spans="1:10" s="28" customFormat="1" ht="21" x14ac:dyDescent="0.35">
      <c r="A658" s="1"/>
      <c r="B658" s="2"/>
      <c r="C658" s="2"/>
      <c r="D658" s="2"/>
      <c r="E658" s="2"/>
      <c r="F658" s="2"/>
      <c r="G658" s="2"/>
      <c r="H658" s="2"/>
      <c r="I658" s="40"/>
      <c r="J658" s="39"/>
    </row>
    <row r="659" spans="1:10" s="28" customFormat="1" ht="21" x14ac:dyDescent="0.35">
      <c r="A659" s="1"/>
      <c r="B659" s="2"/>
      <c r="C659" s="2"/>
      <c r="D659" s="2"/>
      <c r="E659" s="2"/>
      <c r="F659" s="2"/>
      <c r="G659" s="2"/>
      <c r="H659" s="2"/>
      <c r="I659" s="40"/>
      <c r="J659" s="39"/>
    </row>
    <row r="660" spans="1:10" s="28" customFormat="1" ht="21" x14ac:dyDescent="0.35">
      <c r="A660" s="1"/>
      <c r="B660" s="2"/>
      <c r="C660" s="2"/>
      <c r="D660" s="2"/>
      <c r="E660" s="2"/>
      <c r="F660" s="2"/>
      <c r="G660" s="2"/>
      <c r="H660" s="2"/>
      <c r="I660" s="40"/>
      <c r="J660" s="39"/>
    </row>
    <row r="661" spans="1:10" s="28" customFormat="1" ht="21" x14ac:dyDescent="0.35">
      <c r="A661" s="1"/>
      <c r="B661" s="2"/>
      <c r="C661" s="2"/>
      <c r="D661" s="2"/>
      <c r="E661" s="2"/>
      <c r="F661" s="2"/>
      <c r="G661" s="2"/>
      <c r="H661" s="2"/>
      <c r="I661" s="40"/>
      <c r="J661" s="39"/>
    </row>
    <row r="662" spans="1:10" s="28" customFormat="1" ht="21" x14ac:dyDescent="0.35">
      <c r="A662" s="1"/>
      <c r="B662" s="2"/>
      <c r="C662" s="2"/>
      <c r="D662" s="2"/>
      <c r="E662" s="2"/>
      <c r="F662" s="2"/>
      <c r="G662" s="2"/>
      <c r="H662" s="2"/>
      <c r="I662" s="40"/>
      <c r="J662" s="39"/>
    </row>
    <row r="663" spans="1:10" s="28" customFormat="1" ht="21" x14ac:dyDescent="0.35">
      <c r="A663" s="1"/>
      <c r="B663" s="2"/>
      <c r="C663" s="2"/>
      <c r="D663" s="2"/>
      <c r="E663" s="2"/>
      <c r="F663" s="2"/>
      <c r="G663" s="2"/>
      <c r="H663" s="2"/>
      <c r="I663" s="40"/>
      <c r="J663" s="39"/>
    </row>
    <row r="664" spans="1:10" s="28" customFormat="1" ht="21" x14ac:dyDescent="0.35">
      <c r="A664" s="1"/>
      <c r="B664" s="2"/>
      <c r="C664" s="2"/>
      <c r="D664" s="2"/>
      <c r="E664" s="2"/>
      <c r="F664" s="2"/>
      <c r="G664" s="2"/>
      <c r="H664" s="2"/>
      <c r="I664" s="40"/>
      <c r="J664" s="39"/>
    </row>
    <row r="665" spans="1:10" s="28" customFormat="1" ht="21" x14ac:dyDescent="0.35">
      <c r="A665" s="1"/>
      <c r="B665" s="2"/>
      <c r="C665" s="2"/>
      <c r="D665" s="2"/>
      <c r="E665" s="2"/>
      <c r="F665" s="2"/>
      <c r="G665" s="2"/>
      <c r="H665" s="2"/>
      <c r="I665" s="40"/>
      <c r="J665" s="39"/>
    </row>
    <row r="666" spans="1:10" s="28" customFormat="1" ht="21" x14ac:dyDescent="0.35">
      <c r="A666" s="1"/>
      <c r="B666" s="2"/>
      <c r="C666" s="2"/>
      <c r="D666" s="2"/>
      <c r="E666" s="2"/>
      <c r="F666" s="2"/>
      <c r="G666" s="2"/>
      <c r="H666" s="2"/>
      <c r="I666" s="40"/>
      <c r="J666" s="39"/>
    </row>
    <row r="667" spans="1:10" s="28" customFormat="1" ht="21" x14ac:dyDescent="0.35">
      <c r="A667" s="1"/>
      <c r="B667" s="2"/>
      <c r="C667" s="2"/>
      <c r="D667" s="2"/>
      <c r="E667" s="2"/>
      <c r="F667" s="2"/>
      <c r="G667" s="2"/>
      <c r="H667" s="2"/>
      <c r="I667" s="40"/>
      <c r="J667" s="39"/>
    </row>
    <row r="668" spans="1:10" s="28" customFormat="1" ht="21" x14ac:dyDescent="0.35">
      <c r="A668" s="1"/>
      <c r="B668" s="2"/>
      <c r="C668" s="2"/>
      <c r="D668" s="2"/>
      <c r="E668" s="2"/>
      <c r="F668" s="2"/>
      <c r="G668" s="2"/>
      <c r="H668" s="2"/>
      <c r="I668" s="40"/>
      <c r="J668" s="39"/>
    </row>
    <row r="669" spans="1:10" s="28" customFormat="1" ht="21" x14ac:dyDescent="0.35">
      <c r="A669" s="1"/>
      <c r="B669" s="2"/>
      <c r="C669" s="2"/>
      <c r="D669" s="2"/>
      <c r="E669" s="2"/>
      <c r="F669" s="2"/>
      <c r="G669" s="2"/>
      <c r="H669" s="2"/>
      <c r="I669" s="40"/>
      <c r="J669" s="39"/>
    </row>
    <row r="670" spans="1:10" s="28" customFormat="1" ht="21" x14ac:dyDescent="0.35">
      <c r="A670" s="1"/>
      <c r="B670" s="2"/>
      <c r="C670" s="2"/>
      <c r="D670" s="2"/>
      <c r="E670" s="2"/>
      <c r="F670" s="2"/>
      <c r="G670" s="2"/>
      <c r="H670" s="2"/>
      <c r="I670" s="40"/>
      <c r="J670" s="39"/>
    </row>
    <row r="671" spans="1:10" s="28" customFormat="1" ht="21" x14ac:dyDescent="0.35">
      <c r="A671" s="1"/>
      <c r="B671" s="2"/>
      <c r="C671" s="2"/>
      <c r="D671" s="2"/>
      <c r="E671" s="2"/>
      <c r="F671" s="2"/>
      <c r="G671" s="2"/>
      <c r="H671" s="2"/>
      <c r="I671" s="40"/>
      <c r="J671" s="39"/>
    </row>
    <row r="672" spans="1:10" s="28" customFormat="1" ht="21" x14ac:dyDescent="0.35">
      <c r="A672" s="1"/>
      <c r="B672" s="2"/>
      <c r="C672" s="2"/>
      <c r="D672" s="2"/>
      <c r="E672" s="2"/>
      <c r="F672" s="2"/>
      <c r="G672" s="2"/>
      <c r="H672" s="2"/>
      <c r="I672" s="40"/>
      <c r="J672" s="39"/>
    </row>
    <row r="673" spans="1:10" s="28" customFormat="1" ht="21" x14ac:dyDescent="0.35">
      <c r="A673" s="1"/>
      <c r="B673" s="2"/>
      <c r="C673" s="2"/>
      <c r="D673" s="2"/>
      <c r="E673" s="2"/>
      <c r="F673" s="2"/>
      <c r="G673" s="2"/>
      <c r="H673" s="2"/>
      <c r="I673" s="40"/>
      <c r="J673" s="39"/>
    </row>
    <row r="674" spans="1:10" s="28" customFormat="1" ht="21" x14ac:dyDescent="0.35">
      <c r="A674" s="1"/>
      <c r="B674" s="2"/>
      <c r="C674" s="2"/>
      <c r="D674" s="2"/>
      <c r="E674" s="2"/>
      <c r="F674" s="2"/>
      <c r="G674" s="2"/>
      <c r="H674" s="2"/>
      <c r="I674" s="40"/>
      <c r="J674" s="39"/>
    </row>
    <row r="675" spans="1:10" s="28" customFormat="1" ht="21" x14ac:dyDescent="0.35">
      <c r="A675" s="1"/>
      <c r="B675" s="2"/>
      <c r="C675" s="2"/>
      <c r="D675" s="2"/>
      <c r="E675" s="2"/>
      <c r="F675" s="2"/>
      <c r="G675" s="2"/>
      <c r="H675" s="2"/>
      <c r="I675" s="40"/>
      <c r="J675" s="39"/>
    </row>
    <row r="676" spans="1:10" s="28" customFormat="1" ht="21" x14ac:dyDescent="0.35">
      <c r="A676" s="1"/>
      <c r="B676" s="2"/>
      <c r="C676" s="2"/>
      <c r="D676" s="2"/>
      <c r="E676" s="2"/>
      <c r="F676" s="2"/>
      <c r="G676" s="2"/>
      <c r="H676" s="2"/>
      <c r="I676" s="40"/>
      <c r="J676" s="39"/>
    </row>
    <row r="677" spans="1:10" s="28" customFormat="1" ht="21" x14ac:dyDescent="0.35">
      <c r="A677" s="1"/>
      <c r="B677" s="2"/>
      <c r="C677" s="2"/>
      <c r="D677" s="2"/>
      <c r="E677" s="2"/>
      <c r="F677" s="2"/>
      <c r="G677" s="2"/>
      <c r="H677" s="2"/>
      <c r="I677" s="40"/>
      <c r="J677" s="39"/>
    </row>
    <row r="678" spans="1:10" s="28" customFormat="1" ht="21" x14ac:dyDescent="0.35">
      <c r="A678" s="1"/>
      <c r="B678" s="2"/>
      <c r="C678" s="2"/>
      <c r="D678" s="2"/>
      <c r="E678" s="2"/>
      <c r="F678" s="2"/>
      <c r="G678" s="2"/>
      <c r="H678" s="2"/>
      <c r="I678" s="40"/>
      <c r="J678" s="39"/>
    </row>
    <row r="679" spans="1:10" s="28" customFormat="1" ht="21" x14ac:dyDescent="0.35">
      <c r="A679" s="1"/>
      <c r="B679" s="2"/>
      <c r="C679" s="2"/>
      <c r="D679" s="2"/>
      <c r="E679" s="2"/>
      <c r="F679" s="2"/>
      <c r="G679" s="2"/>
      <c r="H679" s="2"/>
      <c r="I679" s="40"/>
      <c r="J679" s="39"/>
    </row>
    <row r="680" spans="1:10" s="28" customFormat="1" ht="21" x14ac:dyDescent="0.35">
      <c r="A680" s="1"/>
      <c r="B680" s="2"/>
      <c r="C680" s="2"/>
      <c r="D680" s="2"/>
      <c r="E680" s="2"/>
      <c r="F680" s="2"/>
      <c r="G680" s="2"/>
      <c r="H680" s="2"/>
      <c r="I680" s="40"/>
      <c r="J680" s="39"/>
    </row>
    <row r="681" spans="1:10" s="28" customFormat="1" ht="21" x14ac:dyDescent="0.35">
      <c r="A681" s="1"/>
      <c r="B681" s="2"/>
      <c r="C681" s="2"/>
      <c r="D681" s="2"/>
      <c r="E681" s="2"/>
      <c r="F681" s="2"/>
      <c r="G681" s="2"/>
      <c r="H681" s="2"/>
      <c r="I681" s="40"/>
      <c r="J681" s="39"/>
    </row>
    <row r="682" spans="1:10" s="28" customFormat="1" ht="21" x14ac:dyDescent="0.35">
      <c r="A682" s="1"/>
      <c r="B682" s="2"/>
      <c r="C682" s="2"/>
      <c r="D682" s="2"/>
      <c r="E682" s="2"/>
      <c r="F682" s="2"/>
      <c r="G682" s="2"/>
      <c r="H682" s="2"/>
      <c r="I682" s="40"/>
      <c r="J682" s="39"/>
    </row>
    <row r="683" spans="1:10" s="28" customFormat="1" ht="21" x14ac:dyDescent="0.35">
      <c r="A683" s="1"/>
      <c r="B683" s="2"/>
      <c r="C683" s="2"/>
      <c r="D683" s="2"/>
      <c r="E683" s="2"/>
      <c r="F683" s="2"/>
      <c r="G683" s="2"/>
      <c r="H683" s="2"/>
      <c r="I683" s="40"/>
      <c r="J683" s="39"/>
    </row>
    <row r="684" spans="1:10" s="28" customFormat="1" ht="21" x14ac:dyDescent="0.35">
      <c r="A684" s="1"/>
      <c r="B684" s="2"/>
      <c r="C684" s="2"/>
      <c r="D684" s="2"/>
      <c r="E684" s="2"/>
      <c r="F684" s="2"/>
      <c r="G684" s="2"/>
      <c r="H684" s="2"/>
      <c r="I684" s="40"/>
      <c r="J684" s="39"/>
    </row>
    <row r="685" spans="1:10" s="28" customFormat="1" ht="21" x14ac:dyDescent="0.35">
      <c r="A685" s="1"/>
      <c r="B685" s="2"/>
      <c r="C685" s="2"/>
      <c r="D685" s="2"/>
      <c r="E685" s="2"/>
      <c r="F685" s="2"/>
      <c r="G685" s="2"/>
      <c r="H685" s="2"/>
      <c r="I685" s="40"/>
      <c r="J685" s="39"/>
    </row>
    <row r="686" spans="1:10" s="28" customFormat="1" ht="21" x14ac:dyDescent="0.35">
      <c r="A686" s="1"/>
      <c r="B686" s="2"/>
      <c r="C686" s="2"/>
      <c r="D686" s="2"/>
      <c r="E686" s="2"/>
      <c r="F686" s="2"/>
      <c r="G686" s="2"/>
      <c r="H686" s="2"/>
      <c r="I686" s="40"/>
      <c r="J686" s="39"/>
    </row>
    <row r="687" spans="1:10" s="28" customFormat="1" ht="21" x14ac:dyDescent="0.35">
      <c r="A687" s="1"/>
      <c r="B687" s="2"/>
      <c r="C687" s="2"/>
      <c r="D687" s="2"/>
      <c r="E687" s="2"/>
      <c r="F687" s="2"/>
      <c r="G687" s="2"/>
      <c r="H687" s="2"/>
      <c r="I687" s="40"/>
      <c r="J687" s="39"/>
    </row>
    <row r="688" spans="1:10" s="28" customFormat="1" ht="21" x14ac:dyDescent="0.35">
      <c r="A688" s="1"/>
      <c r="B688" s="2"/>
      <c r="C688" s="2"/>
      <c r="D688" s="2"/>
      <c r="E688" s="2"/>
      <c r="F688" s="2"/>
      <c r="G688" s="2"/>
      <c r="H688" s="2"/>
      <c r="I688" s="40"/>
      <c r="J688" s="39"/>
    </row>
    <row r="689" spans="1:10" s="28" customFormat="1" ht="21" x14ac:dyDescent="0.35">
      <c r="A689" s="1"/>
      <c r="B689" s="2"/>
      <c r="C689" s="2"/>
      <c r="D689" s="2"/>
      <c r="E689" s="2"/>
      <c r="F689" s="2"/>
      <c r="G689" s="2"/>
      <c r="H689" s="2"/>
      <c r="I689" s="40"/>
      <c r="J689" s="39"/>
    </row>
    <row r="690" spans="1:10" s="28" customFormat="1" ht="21" x14ac:dyDescent="0.35">
      <c r="A690" s="1"/>
      <c r="B690" s="2"/>
      <c r="C690" s="2"/>
      <c r="D690" s="2"/>
      <c r="E690" s="2"/>
      <c r="F690" s="2"/>
      <c r="G690" s="2"/>
      <c r="H690" s="2"/>
      <c r="I690" s="40"/>
      <c r="J690" s="39"/>
    </row>
    <row r="691" spans="1:10" s="28" customFormat="1" ht="21" x14ac:dyDescent="0.35">
      <c r="A691" s="1"/>
      <c r="B691" s="2"/>
      <c r="C691" s="2"/>
      <c r="D691" s="2"/>
      <c r="E691" s="2"/>
      <c r="F691" s="2"/>
      <c r="G691" s="2"/>
      <c r="H691" s="2"/>
      <c r="I691" s="40"/>
      <c r="J691" s="39"/>
    </row>
    <row r="692" spans="1:10" s="28" customFormat="1" ht="21" x14ac:dyDescent="0.35">
      <c r="A692" s="1"/>
      <c r="B692" s="2"/>
      <c r="C692" s="2"/>
      <c r="D692" s="2"/>
      <c r="E692" s="2"/>
      <c r="F692" s="2"/>
      <c r="G692" s="2"/>
      <c r="H692" s="2"/>
      <c r="I692" s="40"/>
      <c r="J692" s="39"/>
    </row>
    <row r="693" spans="1:10" s="28" customFormat="1" ht="21" x14ac:dyDescent="0.35">
      <c r="A693" s="1"/>
      <c r="B693" s="2"/>
      <c r="C693" s="2"/>
      <c r="D693" s="2"/>
      <c r="E693" s="2"/>
      <c r="F693" s="2"/>
      <c r="G693" s="2"/>
      <c r="H693" s="2"/>
      <c r="I693" s="40"/>
      <c r="J693" s="39"/>
    </row>
    <row r="694" spans="1:10" s="28" customFormat="1" ht="21" x14ac:dyDescent="0.35">
      <c r="A694" s="1"/>
      <c r="B694" s="2"/>
      <c r="C694" s="2"/>
      <c r="D694" s="2"/>
      <c r="E694" s="2"/>
      <c r="F694" s="2"/>
      <c r="G694" s="2"/>
      <c r="H694" s="2"/>
      <c r="I694" s="40"/>
      <c r="J694" s="39"/>
    </row>
    <row r="695" spans="1:10" s="28" customFormat="1" ht="21" x14ac:dyDescent="0.35">
      <c r="A695" s="1"/>
      <c r="B695" s="2"/>
      <c r="C695" s="2"/>
      <c r="D695" s="2"/>
      <c r="E695" s="2"/>
      <c r="F695" s="2"/>
      <c r="G695" s="2"/>
      <c r="H695" s="2"/>
      <c r="I695" s="40"/>
      <c r="J695" s="39"/>
    </row>
    <row r="696" spans="1:10" s="28" customFormat="1" ht="21" x14ac:dyDescent="0.35">
      <c r="A696" s="1"/>
      <c r="B696" s="2"/>
      <c r="C696" s="2"/>
      <c r="D696" s="2"/>
      <c r="E696" s="2"/>
      <c r="F696" s="2"/>
      <c r="G696" s="2"/>
      <c r="H696" s="2"/>
      <c r="I696" s="40"/>
      <c r="J696" s="39"/>
    </row>
    <row r="697" spans="1:10" s="28" customFormat="1" ht="21" x14ac:dyDescent="0.35">
      <c r="A697" s="1"/>
      <c r="B697" s="2"/>
      <c r="C697" s="2"/>
      <c r="D697" s="2"/>
      <c r="E697" s="2"/>
      <c r="F697" s="2"/>
      <c r="G697" s="2"/>
      <c r="H697" s="2"/>
      <c r="I697" s="40"/>
      <c r="J697" s="39"/>
    </row>
    <row r="698" spans="1:10" s="28" customFormat="1" ht="21" x14ac:dyDescent="0.35">
      <c r="A698" s="1"/>
      <c r="B698" s="2"/>
      <c r="C698" s="2"/>
      <c r="D698" s="2"/>
      <c r="E698" s="2"/>
      <c r="F698" s="2"/>
      <c r="G698" s="2"/>
      <c r="H698" s="2"/>
      <c r="I698" s="40"/>
      <c r="J698" s="39"/>
    </row>
    <row r="699" spans="1:10" s="28" customFormat="1" ht="21" x14ac:dyDescent="0.35">
      <c r="A699" s="1"/>
      <c r="B699" s="2"/>
      <c r="C699" s="2"/>
      <c r="D699" s="2"/>
      <c r="E699" s="2"/>
      <c r="F699" s="2"/>
      <c r="G699" s="2"/>
      <c r="H699" s="2"/>
      <c r="I699" s="40"/>
      <c r="J699" s="39"/>
    </row>
    <row r="700" spans="1:10" s="28" customFormat="1" ht="21" x14ac:dyDescent="0.35">
      <c r="A700" s="1"/>
      <c r="B700" s="2"/>
      <c r="C700" s="2"/>
      <c r="D700" s="2"/>
      <c r="E700" s="2"/>
      <c r="F700" s="2"/>
      <c r="G700" s="2"/>
      <c r="H700" s="2"/>
      <c r="I700" s="40"/>
      <c r="J700" s="39"/>
    </row>
    <row r="701" spans="1:10" s="28" customFormat="1" ht="21" x14ac:dyDescent="0.35">
      <c r="A701" s="1"/>
      <c r="B701" s="2"/>
      <c r="C701" s="2"/>
      <c r="D701" s="2"/>
      <c r="E701" s="2"/>
      <c r="F701" s="2"/>
      <c r="G701" s="2"/>
      <c r="H701" s="2"/>
      <c r="I701" s="40"/>
      <c r="J701" s="39"/>
    </row>
    <row r="702" spans="1:10" s="28" customFormat="1" ht="21" x14ac:dyDescent="0.35">
      <c r="A702" s="1"/>
      <c r="B702" s="2"/>
      <c r="C702" s="2"/>
      <c r="D702" s="2"/>
      <c r="E702" s="2"/>
      <c r="F702" s="2"/>
      <c r="G702" s="2"/>
      <c r="H702" s="2"/>
      <c r="I702" s="40"/>
      <c r="J702" s="39"/>
    </row>
    <row r="703" spans="1:10" s="28" customFormat="1" ht="21" x14ac:dyDescent="0.35">
      <c r="A703" s="1"/>
      <c r="B703" s="2"/>
      <c r="C703" s="2"/>
      <c r="D703" s="2"/>
      <c r="E703" s="2"/>
      <c r="F703" s="2"/>
      <c r="G703" s="2"/>
      <c r="H703" s="2"/>
      <c r="I703" s="40"/>
      <c r="J703" s="39"/>
    </row>
    <row r="704" spans="1:10" s="28" customFormat="1" ht="21" x14ac:dyDescent="0.35">
      <c r="A704" s="1"/>
      <c r="B704" s="2"/>
      <c r="C704" s="2"/>
      <c r="D704" s="2"/>
      <c r="E704" s="2"/>
      <c r="F704" s="2"/>
      <c r="G704" s="2"/>
      <c r="H704" s="2"/>
      <c r="I704" s="40"/>
      <c r="J704" s="39"/>
    </row>
    <row r="705" spans="1:10" s="28" customFormat="1" ht="21" x14ac:dyDescent="0.35">
      <c r="A705" s="1"/>
      <c r="B705" s="2"/>
      <c r="C705" s="2"/>
      <c r="D705" s="2"/>
      <c r="E705" s="2"/>
      <c r="F705" s="2"/>
      <c r="G705" s="2"/>
      <c r="H705" s="2"/>
      <c r="I705" s="40"/>
      <c r="J705" s="39"/>
    </row>
    <row r="706" spans="1:10" s="28" customFormat="1" ht="21" x14ac:dyDescent="0.35">
      <c r="A706" s="1"/>
      <c r="B706" s="2"/>
      <c r="C706" s="2"/>
      <c r="D706" s="2"/>
      <c r="E706" s="2"/>
      <c r="F706" s="2"/>
      <c r="G706" s="2"/>
      <c r="H706" s="2"/>
      <c r="I706" s="40"/>
      <c r="J706" s="39"/>
    </row>
    <row r="707" spans="1:10" s="28" customFormat="1" ht="21" x14ac:dyDescent="0.35">
      <c r="A707" s="1"/>
      <c r="B707" s="2"/>
      <c r="C707" s="2"/>
      <c r="D707" s="2"/>
      <c r="E707" s="2"/>
      <c r="F707" s="2"/>
      <c r="G707" s="2"/>
      <c r="H707" s="2"/>
      <c r="I707" s="40"/>
      <c r="J707" s="39"/>
    </row>
    <row r="708" spans="1:10" s="28" customFormat="1" ht="21" x14ac:dyDescent="0.35">
      <c r="A708" s="1"/>
      <c r="B708" s="2"/>
      <c r="C708" s="2"/>
      <c r="D708" s="2"/>
      <c r="E708" s="2"/>
      <c r="F708" s="2"/>
      <c r="G708" s="2"/>
      <c r="H708" s="2"/>
      <c r="I708" s="40"/>
      <c r="J708" s="39"/>
    </row>
    <row r="709" spans="1:10" s="28" customFormat="1" ht="21" x14ac:dyDescent="0.35">
      <c r="A709" s="1"/>
      <c r="B709" s="2"/>
      <c r="C709" s="2"/>
      <c r="D709" s="2"/>
      <c r="E709" s="2"/>
      <c r="F709" s="2"/>
      <c r="G709" s="2"/>
      <c r="H709" s="2"/>
      <c r="I709" s="40"/>
      <c r="J709" s="39"/>
    </row>
    <row r="710" spans="1:10" s="28" customFormat="1" ht="21" x14ac:dyDescent="0.35">
      <c r="A710" s="1"/>
      <c r="B710" s="2"/>
      <c r="C710" s="2"/>
      <c r="D710" s="2"/>
      <c r="E710" s="2"/>
      <c r="F710" s="2"/>
      <c r="G710" s="2"/>
      <c r="H710" s="2"/>
      <c r="I710" s="40"/>
      <c r="J710" s="39"/>
    </row>
    <row r="711" spans="1:10" s="28" customFormat="1" ht="21" x14ac:dyDescent="0.35">
      <c r="A711" s="1"/>
      <c r="B711" s="2"/>
      <c r="C711" s="2"/>
      <c r="D711" s="2"/>
      <c r="E711" s="2"/>
      <c r="F711" s="2"/>
      <c r="G711" s="2"/>
      <c r="H711" s="2"/>
      <c r="I711" s="40"/>
      <c r="J711" s="39"/>
    </row>
    <row r="712" spans="1:10" s="28" customFormat="1" ht="21" x14ac:dyDescent="0.35">
      <c r="A712" s="1"/>
      <c r="B712" s="2"/>
      <c r="C712" s="2"/>
      <c r="D712" s="2"/>
      <c r="E712" s="2"/>
      <c r="F712" s="2"/>
      <c r="G712" s="2"/>
      <c r="H712" s="2"/>
      <c r="I712" s="40"/>
      <c r="J712" s="39"/>
    </row>
    <row r="713" spans="1:10" s="28" customFormat="1" ht="21" x14ac:dyDescent="0.35">
      <c r="A713" s="1"/>
      <c r="B713" s="2"/>
      <c r="C713" s="2"/>
      <c r="D713" s="2"/>
      <c r="E713" s="2"/>
      <c r="F713" s="2"/>
      <c r="G713" s="2"/>
      <c r="H713" s="2"/>
      <c r="I713" s="40"/>
      <c r="J713" s="39"/>
    </row>
    <row r="714" spans="1:10" s="28" customFormat="1" ht="21" x14ac:dyDescent="0.35">
      <c r="A714" s="1"/>
      <c r="B714" s="2"/>
      <c r="C714" s="2"/>
      <c r="D714" s="2"/>
      <c r="E714" s="2"/>
      <c r="F714" s="2"/>
      <c r="G714" s="2"/>
      <c r="H714" s="2"/>
      <c r="I714" s="40"/>
      <c r="J714" s="39"/>
    </row>
    <row r="715" spans="1:10" s="28" customFormat="1" ht="21" x14ac:dyDescent="0.35">
      <c r="A715" s="1"/>
      <c r="B715" s="2"/>
      <c r="C715" s="2"/>
      <c r="D715" s="2"/>
      <c r="E715" s="2"/>
      <c r="F715" s="2"/>
      <c r="G715" s="2"/>
      <c r="H715" s="2"/>
      <c r="I715" s="40"/>
      <c r="J715" s="39"/>
    </row>
    <row r="716" spans="1:10" s="28" customFormat="1" ht="21" x14ac:dyDescent="0.35">
      <c r="A716" s="1"/>
      <c r="B716" s="2"/>
      <c r="C716" s="2"/>
      <c r="D716" s="2"/>
      <c r="E716" s="2"/>
      <c r="F716" s="2"/>
      <c r="G716" s="2"/>
      <c r="H716" s="2"/>
      <c r="I716" s="40"/>
      <c r="J716" s="39"/>
    </row>
    <row r="717" spans="1:10" s="28" customFormat="1" ht="21" x14ac:dyDescent="0.35">
      <c r="A717" s="1"/>
      <c r="B717" s="2"/>
      <c r="C717" s="2"/>
      <c r="D717" s="2"/>
      <c r="E717" s="2"/>
      <c r="F717" s="2"/>
      <c r="G717" s="2"/>
      <c r="H717" s="2"/>
      <c r="I717" s="40"/>
      <c r="J717" s="39"/>
    </row>
    <row r="718" spans="1:10" s="28" customFormat="1" ht="21" x14ac:dyDescent="0.35">
      <c r="A718" s="1"/>
      <c r="B718" s="2"/>
      <c r="C718" s="2"/>
      <c r="D718" s="2"/>
      <c r="E718" s="2"/>
      <c r="F718" s="2"/>
      <c r="G718" s="2"/>
      <c r="H718" s="2"/>
      <c r="I718" s="40"/>
      <c r="J718" s="39"/>
    </row>
    <row r="719" spans="1:10" s="28" customFormat="1" ht="21" x14ac:dyDescent="0.35">
      <c r="A719" s="1"/>
      <c r="B719" s="2"/>
      <c r="C719" s="2"/>
      <c r="D719" s="2"/>
      <c r="E719" s="2"/>
      <c r="F719" s="2"/>
      <c r="G719" s="2"/>
      <c r="H719" s="2"/>
      <c r="I719" s="40"/>
      <c r="J719" s="39"/>
    </row>
    <row r="720" spans="1:10" s="28" customFormat="1" ht="21" x14ac:dyDescent="0.35">
      <c r="A720" s="1"/>
      <c r="B720" s="2"/>
      <c r="C720" s="2"/>
      <c r="D720" s="2"/>
      <c r="E720" s="2"/>
      <c r="F720" s="2"/>
      <c r="G720" s="2"/>
      <c r="H720" s="2"/>
      <c r="I720" s="40"/>
      <c r="J720" s="39"/>
    </row>
    <row r="721" spans="1:10" s="28" customFormat="1" ht="21" x14ac:dyDescent="0.35">
      <c r="A721" s="1"/>
      <c r="B721" s="2"/>
      <c r="C721" s="2"/>
      <c r="D721" s="2"/>
      <c r="E721" s="2"/>
      <c r="F721" s="2"/>
      <c r="G721" s="2"/>
      <c r="H721" s="2"/>
      <c r="I721" s="40"/>
      <c r="J721" s="39"/>
    </row>
    <row r="722" spans="1:10" s="28" customFormat="1" ht="21" x14ac:dyDescent="0.35">
      <c r="A722" s="1"/>
      <c r="B722" s="2"/>
      <c r="C722" s="2"/>
      <c r="D722" s="2"/>
      <c r="E722" s="2"/>
      <c r="F722" s="2"/>
      <c r="G722" s="2"/>
      <c r="H722" s="2"/>
      <c r="I722" s="40"/>
      <c r="J722" s="39"/>
    </row>
    <row r="723" spans="1:10" s="28" customFormat="1" ht="21" x14ac:dyDescent="0.35">
      <c r="A723" s="1"/>
      <c r="B723" s="2"/>
      <c r="C723" s="2"/>
      <c r="D723" s="2"/>
      <c r="E723" s="2"/>
      <c r="F723" s="2"/>
      <c r="G723" s="2"/>
      <c r="H723" s="2"/>
      <c r="I723" s="40"/>
      <c r="J723" s="39"/>
    </row>
    <row r="724" spans="1:10" s="28" customFormat="1" ht="21" x14ac:dyDescent="0.35">
      <c r="A724" s="1"/>
      <c r="B724" s="2"/>
      <c r="C724" s="2"/>
      <c r="D724" s="2"/>
      <c r="E724" s="2"/>
      <c r="F724" s="2"/>
      <c r="G724" s="2"/>
      <c r="H724" s="2"/>
      <c r="I724" s="40"/>
      <c r="J724" s="39"/>
    </row>
    <row r="725" spans="1:10" s="28" customFormat="1" ht="21" x14ac:dyDescent="0.35">
      <c r="A725" s="1"/>
      <c r="B725" s="2"/>
      <c r="C725" s="2"/>
      <c r="D725" s="2"/>
      <c r="E725" s="2"/>
      <c r="F725" s="2"/>
      <c r="G725" s="2"/>
      <c r="H725" s="2"/>
      <c r="I725" s="40"/>
      <c r="J725" s="39"/>
    </row>
    <row r="726" spans="1:10" s="28" customFormat="1" ht="21" x14ac:dyDescent="0.35">
      <c r="A726" s="1"/>
      <c r="B726" s="2"/>
      <c r="C726" s="2"/>
      <c r="D726" s="2"/>
      <c r="E726" s="2"/>
      <c r="F726" s="2"/>
      <c r="G726" s="2"/>
      <c r="H726" s="2"/>
      <c r="I726" s="40"/>
      <c r="J726" s="39"/>
    </row>
    <row r="727" spans="1:10" s="28" customFormat="1" ht="21" x14ac:dyDescent="0.35">
      <c r="A727" s="1"/>
      <c r="B727" s="2"/>
      <c r="C727" s="2"/>
      <c r="D727" s="2"/>
      <c r="E727" s="2"/>
      <c r="F727" s="2"/>
      <c r="G727" s="2"/>
      <c r="H727" s="2"/>
      <c r="I727" s="40"/>
      <c r="J727" s="39"/>
    </row>
    <row r="728" spans="1:10" s="28" customFormat="1" ht="21" x14ac:dyDescent="0.35">
      <c r="A728" s="1"/>
      <c r="B728" s="2"/>
      <c r="C728" s="2"/>
      <c r="D728" s="2"/>
      <c r="E728" s="2"/>
      <c r="F728" s="2"/>
      <c r="G728" s="2"/>
      <c r="H728" s="2"/>
      <c r="I728" s="40"/>
      <c r="J728" s="39"/>
    </row>
    <row r="729" spans="1:10" s="28" customFormat="1" ht="21" x14ac:dyDescent="0.35">
      <c r="A729" s="1"/>
      <c r="B729" s="2"/>
      <c r="C729" s="2"/>
      <c r="D729" s="2"/>
      <c r="E729" s="2"/>
      <c r="F729" s="2"/>
      <c r="G729" s="2"/>
      <c r="H729" s="2"/>
      <c r="I729" s="40"/>
      <c r="J729" s="39"/>
    </row>
    <row r="730" spans="1:10" s="28" customFormat="1" ht="21" x14ac:dyDescent="0.35">
      <c r="A730" s="1"/>
      <c r="B730" s="2"/>
      <c r="C730" s="2"/>
      <c r="D730" s="2"/>
      <c r="E730" s="2"/>
      <c r="F730" s="2"/>
      <c r="G730" s="2"/>
      <c r="H730" s="2"/>
      <c r="I730" s="40"/>
      <c r="J730" s="39"/>
    </row>
    <row r="731" spans="1:10" s="28" customFormat="1" ht="21" x14ac:dyDescent="0.35">
      <c r="A731" s="1"/>
      <c r="B731" s="2"/>
      <c r="C731" s="2"/>
      <c r="D731" s="2"/>
      <c r="E731" s="2"/>
      <c r="F731" s="2"/>
      <c r="G731" s="2"/>
      <c r="H731" s="2"/>
      <c r="I731" s="40"/>
      <c r="J731" s="39"/>
    </row>
    <row r="732" spans="1:10" s="28" customFormat="1" ht="21" x14ac:dyDescent="0.35">
      <c r="A732" s="1"/>
      <c r="B732" s="2"/>
      <c r="C732" s="2"/>
      <c r="D732" s="2"/>
      <c r="E732" s="2"/>
      <c r="F732" s="2"/>
      <c r="G732" s="2"/>
      <c r="H732" s="2"/>
      <c r="I732" s="40"/>
      <c r="J732" s="39"/>
    </row>
    <row r="733" spans="1:10" s="28" customFormat="1" ht="21" x14ac:dyDescent="0.35">
      <c r="A733" s="1"/>
      <c r="B733" s="2"/>
      <c r="C733" s="2"/>
      <c r="D733" s="2"/>
      <c r="E733" s="2"/>
      <c r="F733" s="2"/>
      <c r="G733" s="2"/>
      <c r="H733" s="2"/>
      <c r="I733" s="40"/>
      <c r="J733" s="39"/>
    </row>
    <row r="734" spans="1:10" s="28" customFormat="1" ht="21" x14ac:dyDescent="0.35">
      <c r="A734" s="1"/>
      <c r="B734" s="2"/>
      <c r="C734" s="2"/>
      <c r="D734" s="2"/>
      <c r="E734" s="2"/>
      <c r="F734" s="2"/>
      <c r="G734" s="2"/>
      <c r="H734" s="2"/>
      <c r="I734" s="40"/>
      <c r="J734" s="39"/>
    </row>
    <row r="735" spans="1:10" s="28" customFormat="1" ht="21" x14ac:dyDescent="0.35">
      <c r="A735" s="1"/>
      <c r="B735" s="2"/>
      <c r="C735" s="2"/>
      <c r="D735" s="2"/>
      <c r="E735" s="2"/>
      <c r="F735" s="2"/>
      <c r="G735" s="2"/>
      <c r="H735" s="2"/>
      <c r="I735" s="40"/>
      <c r="J735" s="39"/>
    </row>
    <row r="736" spans="1:10" s="28" customFormat="1" ht="21" x14ac:dyDescent="0.35">
      <c r="A736" s="1"/>
      <c r="B736" s="2"/>
      <c r="C736" s="2"/>
      <c r="D736" s="2"/>
      <c r="E736" s="2"/>
      <c r="F736" s="2"/>
      <c r="G736" s="2"/>
      <c r="H736" s="2"/>
      <c r="I736" s="40"/>
      <c r="J736" s="39"/>
    </row>
    <row r="737" spans="1:10" s="28" customFormat="1" ht="21" x14ac:dyDescent="0.35">
      <c r="A737" s="1"/>
      <c r="B737" s="2"/>
      <c r="C737" s="2"/>
      <c r="D737" s="2"/>
      <c r="E737" s="2"/>
      <c r="F737" s="2"/>
      <c r="G737" s="2"/>
      <c r="H737" s="2"/>
      <c r="I737" s="40"/>
      <c r="J737" s="39"/>
    </row>
    <row r="738" spans="1:10" s="28" customFormat="1" ht="21" x14ac:dyDescent="0.35">
      <c r="A738" s="1"/>
      <c r="B738" s="2"/>
      <c r="C738" s="2"/>
      <c r="D738" s="2"/>
      <c r="E738" s="2"/>
      <c r="F738" s="2"/>
      <c r="G738" s="2"/>
      <c r="H738" s="2"/>
      <c r="I738" s="40"/>
      <c r="J738" s="39"/>
    </row>
    <row r="739" spans="1:10" s="28" customFormat="1" ht="21" x14ac:dyDescent="0.35">
      <c r="A739" s="1"/>
      <c r="B739" s="2"/>
      <c r="C739" s="2"/>
      <c r="D739" s="2"/>
      <c r="E739" s="2"/>
      <c r="F739" s="2"/>
      <c r="G739" s="2"/>
      <c r="H739" s="2"/>
      <c r="I739" s="40"/>
      <c r="J739" s="39"/>
    </row>
    <row r="740" spans="1:10" s="28" customFormat="1" ht="21" x14ac:dyDescent="0.35">
      <c r="A740" s="1"/>
      <c r="B740" s="2"/>
      <c r="C740" s="2"/>
      <c r="D740" s="2"/>
      <c r="E740" s="2"/>
      <c r="F740" s="2"/>
      <c r="G740" s="2"/>
      <c r="H740" s="2"/>
      <c r="I740" s="40"/>
      <c r="J740" s="39"/>
    </row>
    <row r="741" spans="1:10" s="28" customFormat="1" ht="21" x14ac:dyDescent="0.35">
      <c r="A741" s="1"/>
      <c r="B741" s="2"/>
      <c r="C741" s="2"/>
      <c r="D741" s="2"/>
      <c r="E741" s="2"/>
      <c r="F741" s="2"/>
      <c r="G741" s="2"/>
      <c r="H741" s="2"/>
      <c r="I741" s="40"/>
      <c r="J741" s="39"/>
    </row>
    <row r="742" spans="1:10" s="28" customFormat="1" ht="21" x14ac:dyDescent="0.35">
      <c r="A742" s="1"/>
      <c r="B742" s="2"/>
      <c r="C742" s="2"/>
      <c r="D742" s="2"/>
      <c r="E742" s="2"/>
      <c r="F742" s="2"/>
      <c r="G742" s="2"/>
      <c r="H742" s="2"/>
      <c r="I742" s="40"/>
      <c r="J742" s="39"/>
    </row>
    <row r="743" spans="1:10" s="28" customFormat="1" ht="21" x14ac:dyDescent="0.35">
      <c r="A743" s="1"/>
      <c r="B743" s="2"/>
      <c r="C743" s="2"/>
      <c r="D743" s="2"/>
      <c r="E743" s="2"/>
      <c r="F743" s="2"/>
      <c r="G743" s="2"/>
      <c r="H743" s="2"/>
      <c r="I743" s="40"/>
      <c r="J743" s="39"/>
    </row>
    <row r="744" spans="1:10" s="28" customFormat="1" ht="21" x14ac:dyDescent="0.35">
      <c r="A744" s="1"/>
      <c r="B744" s="2"/>
      <c r="C744" s="2"/>
      <c r="D744" s="2"/>
      <c r="E744" s="2"/>
      <c r="F744" s="2"/>
      <c r="G744" s="2"/>
      <c r="H744" s="2"/>
      <c r="I744" s="40"/>
      <c r="J744" s="39"/>
    </row>
    <row r="745" spans="1:10" s="28" customFormat="1" ht="21" x14ac:dyDescent="0.35">
      <c r="A745" s="1"/>
      <c r="B745" s="2"/>
      <c r="C745" s="2"/>
      <c r="D745" s="2"/>
      <c r="E745" s="2"/>
      <c r="F745" s="2"/>
      <c r="G745" s="2"/>
      <c r="H745" s="2"/>
      <c r="I745" s="40"/>
      <c r="J745" s="39"/>
    </row>
    <row r="746" spans="1:10" s="28" customFormat="1" ht="21" x14ac:dyDescent="0.35">
      <c r="A746" s="1"/>
      <c r="B746" s="2"/>
      <c r="C746" s="2"/>
      <c r="D746" s="2"/>
      <c r="E746" s="2"/>
      <c r="F746" s="2"/>
      <c r="G746" s="2"/>
      <c r="H746" s="2"/>
      <c r="I746" s="40"/>
      <c r="J746" s="39"/>
    </row>
    <row r="747" spans="1:10" s="28" customFormat="1" ht="21" x14ac:dyDescent="0.35">
      <c r="A747" s="1"/>
      <c r="B747" s="2"/>
      <c r="C747" s="2"/>
      <c r="D747" s="2"/>
      <c r="E747" s="2"/>
      <c r="F747" s="2"/>
      <c r="G747" s="2"/>
      <c r="H747" s="2"/>
      <c r="I747" s="40"/>
      <c r="J747" s="39"/>
    </row>
    <row r="748" spans="1:10" s="28" customFormat="1" ht="21" x14ac:dyDescent="0.35">
      <c r="A748" s="1"/>
      <c r="B748" s="2"/>
      <c r="C748" s="2"/>
      <c r="D748" s="2"/>
      <c r="E748" s="2"/>
      <c r="F748" s="2"/>
      <c r="G748" s="2"/>
      <c r="H748" s="2"/>
      <c r="I748" s="40"/>
      <c r="J748" s="39"/>
    </row>
    <row r="749" spans="1:10" s="28" customFormat="1" ht="21" x14ac:dyDescent="0.35">
      <c r="A749" s="1"/>
      <c r="B749" s="2"/>
      <c r="C749" s="2"/>
      <c r="D749" s="2"/>
      <c r="E749" s="2"/>
      <c r="F749" s="2"/>
      <c r="G749" s="2"/>
      <c r="H749" s="2"/>
      <c r="I749" s="40"/>
      <c r="J749" s="39"/>
    </row>
    <row r="750" spans="1:10" s="28" customFormat="1" ht="21" x14ac:dyDescent="0.35">
      <c r="A750" s="1"/>
      <c r="B750" s="2"/>
      <c r="C750" s="2"/>
      <c r="D750" s="2"/>
      <c r="E750" s="2"/>
      <c r="F750" s="2"/>
      <c r="G750" s="2"/>
      <c r="H750" s="2"/>
      <c r="I750" s="40"/>
      <c r="J750" s="39"/>
    </row>
    <row r="751" spans="1:10" s="28" customFormat="1" ht="21" x14ac:dyDescent="0.35">
      <c r="A751" s="1"/>
      <c r="B751" s="2"/>
      <c r="C751" s="2"/>
      <c r="D751" s="2"/>
      <c r="E751" s="2"/>
      <c r="F751" s="2"/>
      <c r="G751" s="2"/>
      <c r="H751" s="2"/>
      <c r="I751" s="40"/>
      <c r="J751" s="39"/>
    </row>
    <row r="752" spans="1:10" s="28" customFormat="1" ht="21" x14ac:dyDescent="0.35">
      <c r="A752" s="1"/>
      <c r="B752" s="2"/>
      <c r="C752" s="2"/>
      <c r="D752" s="2"/>
      <c r="E752" s="2"/>
      <c r="F752" s="2"/>
      <c r="G752" s="2"/>
      <c r="H752" s="2"/>
      <c r="I752" s="40"/>
      <c r="J752" s="39"/>
    </row>
    <row r="753" spans="1:10" s="28" customFormat="1" ht="21" x14ac:dyDescent="0.35">
      <c r="A753" s="1"/>
      <c r="B753" s="2"/>
      <c r="C753" s="2"/>
      <c r="D753" s="2"/>
      <c r="E753" s="2"/>
      <c r="F753" s="2"/>
      <c r="G753" s="2"/>
      <c r="H753" s="2"/>
      <c r="I753" s="40"/>
      <c r="J753" s="39"/>
    </row>
    <row r="754" spans="1:10" s="28" customFormat="1" ht="21" x14ac:dyDescent="0.35">
      <c r="A754" s="1"/>
      <c r="B754" s="2"/>
      <c r="C754" s="2"/>
      <c r="D754" s="2"/>
      <c r="E754" s="2"/>
      <c r="F754" s="2"/>
      <c r="G754" s="2"/>
      <c r="H754" s="2"/>
      <c r="I754" s="40"/>
      <c r="J754" s="39"/>
    </row>
    <row r="755" spans="1:10" s="28" customFormat="1" ht="21" x14ac:dyDescent="0.35">
      <c r="A755" s="1"/>
      <c r="B755" s="2"/>
      <c r="C755" s="2"/>
      <c r="D755" s="2"/>
      <c r="E755" s="2"/>
      <c r="F755" s="2"/>
      <c r="G755" s="2"/>
      <c r="H755" s="2"/>
      <c r="I755" s="40"/>
      <c r="J755" s="39"/>
    </row>
    <row r="756" spans="1:10" s="28" customFormat="1" ht="21" x14ac:dyDescent="0.35">
      <c r="A756" s="1"/>
      <c r="B756" s="2"/>
      <c r="C756" s="2"/>
      <c r="D756" s="2"/>
      <c r="E756" s="2"/>
      <c r="F756" s="2"/>
      <c r="G756" s="2"/>
      <c r="H756" s="2"/>
      <c r="I756" s="40"/>
      <c r="J756" s="39"/>
    </row>
    <row r="757" spans="1:10" s="28" customFormat="1" ht="21" x14ac:dyDescent="0.35">
      <c r="A757" s="1"/>
      <c r="B757" s="2"/>
      <c r="C757" s="2"/>
      <c r="D757" s="2"/>
      <c r="E757" s="2"/>
      <c r="F757" s="2"/>
      <c r="G757" s="2"/>
      <c r="H757" s="2"/>
      <c r="I757" s="40"/>
      <c r="J757" s="39"/>
    </row>
    <row r="758" spans="1:10" s="28" customFormat="1" ht="21" x14ac:dyDescent="0.35">
      <c r="A758" s="1"/>
      <c r="B758" s="2"/>
      <c r="C758" s="2"/>
      <c r="D758" s="2"/>
      <c r="E758" s="2"/>
      <c r="F758" s="2"/>
      <c r="G758" s="2"/>
      <c r="H758" s="2"/>
      <c r="I758" s="40"/>
      <c r="J758" s="39"/>
    </row>
    <row r="759" spans="1:10" s="28" customFormat="1" ht="21" x14ac:dyDescent="0.35">
      <c r="A759" s="1"/>
      <c r="B759" s="2"/>
      <c r="C759" s="2"/>
      <c r="D759" s="2"/>
      <c r="E759" s="2"/>
      <c r="F759" s="2"/>
      <c r="G759" s="2"/>
      <c r="H759" s="2"/>
      <c r="I759" s="40"/>
      <c r="J759" s="39"/>
    </row>
    <row r="760" spans="1:10" s="28" customFormat="1" ht="21" x14ac:dyDescent="0.35">
      <c r="A760" s="1"/>
      <c r="B760" s="2"/>
      <c r="C760" s="2"/>
      <c r="D760" s="2"/>
      <c r="E760" s="2"/>
      <c r="F760" s="2"/>
      <c r="G760" s="2"/>
      <c r="H760" s="2"/>
      <c r="I760" s="40"/>
      <c r="J760" s="39"/>
    </row>
    <row r="761" spans="1:10" s="28" customFormat="1" ht="21" x14ac:dyDescent="0.35">
      <c r="A761" s="1"/>
      <c r="B761" s="2"/>
      <c r="C761" s="2"/>
      <c r="D761" s="2"/>
      <c r="E761" s="2"/>
      <c r="F761" s="2"/>
      <c r="G761" s="2"/>
      <c r="H761" s="2"/>
      <c r="I761" s="40"/>
      <c r="J761" s="39"/>
    </row>
    <row r="762" spans="1:10" s="28" customFormat="1" ht="21" x14ac:dyDescent="0.35">
      <c r="A762" s="1"/>
      <c r="B762" s="2"/>
      <c r="C762" s="2"/>
      <c r="D762" s="2"/>
      <c r="E762" s="2"/>
      <c r="F762" s="2"/>
      <c r="G762" s="2"/>
      <c r="H762" s="2"/>
      <c r="I762" s="40"/>
      <c r="J762" s="39"/>
    </row>
    <row r="763" spans="1:10" s="28" customFormat="1" ht="21" x14ac:dyDescent="0.35">
      <c r="A763" s="1"/>
      <c r="B763" s="2"/>
      <c r="C763" s="2"/>
      <c r="D763" s="2"/>
      <c r="E763" s="2"/>
      <c r="F763" s="2"/>
      <c r="G763" s="2"/>
      <c r="H763" s="2"/>
      <c r="I763" s="40"/>
      <c r="J763" s="39"/>
    </row>
    <row r="764" spans="1:10" s="28" customFormat="1" ht="21" x14ac:dyDescent="0.35">
      <c r="A764" s="1"/>
      <c r="B764" s="2"/>
      <c r="C764" s="2"/>
      <c r="D764" s="2"/>
      <c r="E764" s="2"/>
      <c r="F764" s="2"/>
      <c r="G764" s="2"/>
      <c r="H764" s="2"/>
      <c r="I764" s="40"/>
      <c r="J764" s="39"/>
    </row>
    <row r="765" spans="1:10" s="28" customFormat="1" ht="21" x14ac:dyDescent="0.35">
      <c r="A765" s="1"/>
      <c r="B765" s="2"/>
      <c r="C765" s="2"/>
      <c r="D765" s="2"/>
      <c r="E765" s="2"/>
      <c r="F765" s="2"/>
      <c r="G765" s="2"/>
      <c r="H765" s="2"/>
      <c r="I765" s="40"/>
      <c r="J765" s="39"/>
    </row>
    <row r="766" spans="1:10" s="28" customFormat="1" ht="21" x14ac:dyDescent="0.35">
      <c r="A766" s="1"/>
      <c r="B766" s="2"/>
      <c r="C766" s="2"/>
      <c r="D766" s="2"/>
      <c r="E766" s="2"/>
      <c r="F766" s="2"/>
      <c r="G766" s="2"/>
      <c r="H766" s="2"/>
      <c r="I766" s="40"/>
      <c r="J766" s="39"/>
    </row>
    <row r="767" spans="1:10" s="28" customFormat="1" ht="21" x14ac:dyDescent="0.35">
      <c r="A767" s="1"/>
      <c r="B767" s="2"/>
      <c r="C767" s="2"/>
      <c r="D767" s="2"/>
      <c r="E767" s="2"/>
      <c r="F767" s="2"/>
      <c r="G767" s="2"/>
      <c r="H767" s="2"/>
      <c r="I767" s="40"/>
      <c r="J767" s="39"/>
    </row>
    <row r="768" spans="1:10" s="28" customFormat="1" ht="21" x14ac:dyDescent="0.35">
      <c r="A768" s="1"/>
      <c r="B768" s="2"/>
      <c r="C768" s="2"/>
      <c r="D768" s="2"/>
      <c r="E768" s="2"/>
      <c r="F768" s="2"/>
      <c r="G768" s="2"/>
      <c r="H768" s="2"/>
      <c r="I768" s="40"/>
      <c r="J768" s="39"/>
    </row>
    <row r="769" spans="1:10" s="28" customFormat="1" ht="21" x14ac:dyDescent="0.35">
      <c r="A769" s="1"/>
      <c r="B769" s="2"/>
      <c r="C769" s="2"/>
      <c r="D769" s="2"/>
      <c r="E769" s="2"/>
      <c r="F769" s="2"/>
      <c r="G769" s="2"/>
      <c r="H769" s="2"/>
      <c r="I769" s="40"/>
      <c r="J769" s="39"/>
    </row>
    <row r="770" spans="1:10" s="28" customFormat="1" ht="21" x14ac:dyDescent="0.35">
      <c r="A770" s="1"/>
      <c r="B770" s="2"/>
      <c r="C770" s="2"/>
      <c r="D770" s="2"/>
      <c r="E770" s="2"/>
      <c r="F770" s="2"/>
      <c r="G770" s="2"/>
      <c r="H770" s="2"/>
      <c r="I770" s="40"/>
      <c r="J770" s="39"/>
    </row>
    <row r="771" spans="1:10" s="28" customFormat="1" ht="21" x14ac:dyDescent="0.35">
      <c r="A771" s="1"/>
      <c r="B771" s="2"/>
      <c r="C771" s="2"/>
      <c r="D771" s="2"/>
      <c r="E771" s="2"/>
      <c r="F771" s="2"/>
      <c r="G771" s="2"/>
      <c r="H771" s="2"/>
      <c r="I771" s="40"/>
      <c r="J771" s="39"/>
    </row>
    <row r="772" spans="1:10" s="28" customFormat="1" ht="21" x14ac:dyDescent="0.35">
      <c r="A772" s="1"/>
      <c r="B772" s="2"/>
      <c r="C772" s="2"/>
      <c r="D772" s="2"/>
      <c r="E772" s="2"/>
      <c r="F772" s="2"/>
      <c r="G772" s="2"/>
      <c r="H772" s="2"/>
      <c r="I772" s="40"/>
      <c r="J772" s="39"/>
    </row>
    <row r="773" spans="1:10" s="28" customFormat="1" ht="21" x14ac:dyDescent="0.35">
      <c r="A773" s="1"/>
      <c r="B773" s="2"/>
      <c r="C773" s="2"/>
      <c r="D773" s="2"/>
      <c r="E773" s="2"/>
      <c r="F773" s="2"/>
      <c r="G773" s="2"/>
      <c r="H773" s="2"/>
      <c r="I773" s="40"/>
      <c r="J773" s="39"/>
    </row>
    <row r="774" spans="1:10" s="28" customFormat="1" ht="21" x14ac:dyDescent="0.35">
      <c r="A774" s="1"/>
      <c r="B774" s="2"/>
      <c r="C774" s="2"/>
      <c r="D774" s="2"/>
      <c r="E774" s="2"/>
      <c r="F774" s="2"/>
      <c r="G774" s="2"/>
      <c r="H774" s="2"/>
      <c r="I774" s="40"/>
      <c r="J774" s="39"/>
    </row>
    <row r="775" spans="1:10" s="28" customFormat="1" ht="21" x14ac:dyDescent="0.35">
      <c r="A775" s="1"/>
      <c r="B775" s="2"/>
      <c r="C775" s="2"/>
      <c r="D775" s="2"/>
      <c r="E775" s="2"/>
      <c r="F775" s="2"/>
      <c r="G775" s="2"/>
      <c r="H775" s="2"/>
      <c r="I775" s="40"/>
      <c r="J775" s="39"/>
    </row>
    <row r="776" spans="1:10" s="28" customFormat="1" ht="21" x14ac:dyDescent="0.35">
      <c r="A776" s="1"/>
      <c r="B776" s="2"/>
      <c r="C776" s="2"/>
      <c r="D776" s="2"/>
      <c r="E776" s="2"/>
      <c r="F776" s="2"/>
      <c r="G776" s="2"/>
      <c r="H776" s="2"/>
      <c r="I776" s="40"/>
      <c r="J776" s="39"/>
    </row>
    <row r="777" spans="1:10" s="28" customFormat="1" ht="21" x14ac:dyDescent="0.35">
      <c r="A777" s="1"/>
      <c r="B777" s="2"/>
      <c r="C777" s="2"/>
      <c r="D777" s="2"/>
      <c r="E777" s="2"/>
      <c r="F777" s="2"/>
      <c r="G777" s="2"/>
      <c r="H777" s="2"/>
      <c r="I777" s="40"/>
      <c r="J777" s="39"/>
    </row>
    <row r="778" spans="1:10" s="28" customFormat="1" ht="21" x14ac:dyDescent="0.35">
      <c r="A778" s="1"/>
      <c r="B778" s="2"/>
      <c r="C778" s="2"/>
      <c r="D778" s="2"/>
      <c r="E778" s="2"/>
      <c r="F778" s="2"/>
      <c r="G778" s="2"/>
      <c r="H778" s="2"/>
      <c r="I778" s="40"/>
      <c r="J778" s="39"/>
    </row>
    <row r="779" spans="1:10" s="28" customFormat="1" ht="21" x14ac:dyDescent="0.35">
      <c r="A779" s="1"/>
      <c r="B779" s="2"/>
      <c r="C779" s="2"/>
      <c r="D779" s="2"/>
      <c r="E779" s="2"/>
      <c r="F779" s="2"/>
      <c r="G779" s="2"/>
      <c r="H779" s="2"/>
      <c r="I779" s="40"/>
      <c r="J779" s="39"/>
    </row>
    <row r="780" spans="1:10" s="28" customFormat="1" ht="21" x14ac:dyDescent="0.35">
      <c r="A780" s="1"/>
      <c r="B780" s="2"/>
      <c r="C780" s="2"/>
      <c r="D780" s="2"/>
      <c r="E780" s="2"/>
      <c r="F780" s="2"/>
      <c r="G780" s="2"/>
      <c r="H780" s="2"/>
      <c r="I780" s="40"/>
      <c r="J780" s="39"/>
    </row>
    <row r="781" spans="1:10" s="28" customFormat="1" ht="21" x14ac:dyDescent="0.35">
      <c r="A781" s="1"/>
      <c r="B781" s="2"/>
      <c r="C781" s="2"/>
      <c r="D781" s="2"/>
      <c r="E781" s="2"/>
      <c r="F781" s="2"/>
      <c r="G781" s="2"/>
      <c r="H781" s="2"/>
      <c r="I781" s="40"/>
      <c r="J781" s="39"/>
    </row>
    <row r="782" spans="1:10" s="28" customFormat="1" ht="21" x14ac:dyDescent="0.35">
      <c r="A782" s="1"/>
      <c r="B782" s="2"/>
      <c r="C782" s="2"/>
      <c r="D782" s="2"/>
      <c r="E782" s="2"/>
      <c r="F782" s="2"/>
      <c r="G782" s="2"/>
      <c r="H782" s="2"/>
      <c r="I782" s="40"/>
      <c r="J782" s="39"/>
    </row>
    <row r="783" spans="1:10" s="28" customFormat="1" ht="21" x14ac:dyDescent="0.35">
      <c r="A783" s="1"/>
      <c r="B783" s="2"/>
      <c r="C783" s="2"/>
      <c r="D783" s="2"/>
      <c r="E783" s="2"/>
      <c r="F783" s="2"/>
      <c r="G783" s="2"/>
      <c r="H783" s="2"/>
      <c r="I783" s="40"/>
      <c r="J783" s="39"/>
    </row>
    <row r="784" spans="1:10" s="28" customFormat="1" ht="21" x14ac:dyDescent="0.35">
      <c r="A784" s="1"/>
      <c r="B784" s="2"/>
      <c r="C784" s="2"/>
      <c r="D784" s="2"/>
      <c r="E784" s="2"/>
      <c r="F784" s="2"/>
      <c r="G784" s="2"/>
      <c r="H784" s="2"/>
      <c r="I784" s="40"/>
      <c r="J784" s="39"/>
    </row>
    <row r="785" spans="1:10" s="28" customFormat="1" ht="21" x14ac:dyDescent="0.35">
      <c r="A785" s="1"/>
      <c r="B785" s="2"/>
      <c r="C785" s="2"/>
      <c r="D785" s="2"/>
      <c r="E785" s="2"/>
      <c r="F785" s="2"/>
      <c r="G785" s="2"/>
      <c r="H785" s="2"/>
      <c r="I785" s="40"/>
      <c r="J785" s="39"/>
    </row>
    <row r="786" spans="1:10" s="28" customFormat="1" ht="21" x14ac:dyDescent="0.35">
      <c r="A786" s="1"/>
      <c r="B786" s="2"/>
      <c r="C786" s="2"/>
      <c r="D786" s="2"/>
      <c r="E786" s="2"/>
      <c r="F786" s="2"/>
      <c r="G786" s="2"/>
      <c r="H786" s="2"/>
      <c r="I786" s="40"/>
      <c r="J786" s="39"/>
    </row>
    <row r="787" spans="1:10" s="28" customFormat="1" ht="21" x14ac:dyDescent="0.35">
      <c r="A787" s="1"/>
      <c r="B787" s="2"/>
      <c r="C787" s="2"/>
      <c r="D787" s="2"/>
      <c r="E787" s="2"/>
      <c r="F787" s="2"/>
      <c r="G787" s="2"/>
      <c r="H787" s="2"/>
      <c r="I787" s="40"/>
      <c r="J787" s="39"/>
    </row>
    <row r="788" spans="1:10" s="28" customFormat="1" ht="21" x14ac:dyDescent="0.35">
      <c r="A788" s="1"/>
      <c r="B788" s="2"/>
      <c r="C788" s="2"/>
      <c r="D788" s="2"/>
      <c r="E788" s="2"/>
      <c r="F788" s="2"/>
      <c r="G788" s="2"/>
      <c r="H788" s="2"/>
      <c r="I788" s="40"/>
      <c r="J788" s="39"/>
    </row>
    <row r="789" spans="1:10" s="28" customFormat="1" ht="21" x14ac:dyDescent="0.35">
      <c r="A789" s="1"/>
      <c r="B789" s="2"/>
      <c r="C789" s="2"/>
      <c r="D789" s="2"/>
      <c r="E789" s="2"/>
      <c r="F789" s="2"/>
      <c r="G789" s="2"/>
      <c r="H789" s="2"/>
      <c r="I789" s="40"/>
      <c r="J789" s="39"/>
    </row>
    <row r="790" spans="1:10" s="28" customFormat="1" ht="21" x14ac:dyDescent="0.35">
      <c r="A790" s="1"/>
      <c r="B790" s="2"/>
      <c r="C790" s="2"/>
      <c r="D790" s="2"/>
      <c r="E790" s="2"/>
      <c r="F790" s="2"/>
      <c r="G790" s="2"/>
      <c r="H790" s="2"/>
      <c r="I790" s="40"/>
      <c r="J790" s="39"/>
    </row>
    <row r="791" spans="1:10" s="28" customFormat="1" ht="21" x14ac:dyDescent="0.35">
      <c r="A791" s="1"/>
      <c r="B791" s="2"/>
      <c r="C791" s="2"/>
      <c r="D791" s="2"/>
      <c r="E791" s="2"/>
      <c r="F791" s="2"/>
      <c r="G791" s="2"/>
      <c r="H791" s="2"/>
      <c r="I791" s="40"/>
      <c r="J791" s="39"/>
    </row>
    <row r="792" spans="1:10" s="28" customFormat="1" ht="21" x14ac:dyDescent="0.35">
      <c r="A792" s="1"/>
      <c r="B792" s="2"/>
      <c r="C792" s="2"/>
      <c r="D792" s="2"/>
      <c r="E792" s="2"/>
      <c r="F792" s="2"/>
      <c r="G792" s="2"/>
      <c r="H792" s="2"/>
      <c r="I792" s="40"/>
      <c r="J792" s="39"/>
    </row>
    <row r="793" spans="1:10" s="28" customFormat="1" ht="21" x14ac:dyDescent="0.35">
      <c r="A793" s="1"/>
      <c r="B793" s="2"/>
      <c r="C793" s="2"/>
      <c r="D793" s="2"/>
      <c r="E793" s="2"/>
      <c r="F793" s="2"/>
      <c r="G793" s="2"/>
      <c r="H793" s="2"/>
      <c r="I793" s="40"/>
      <c r="J793" s="39"/>
    </row>
    <row r="794" spans="1:10" s="28" customFormat="1" ht="21" x14ac:dyDescent="0.35">
      <c r="A794" s="1"/>
      <c r="B794" s="2"/>
      <c r="C794" s="2"/>
      <c r="D794" s="2"/>
      <c r="E794" s="2"/>
      <c r="F794" s="2"/>
      <c r="G794" s="2"/>
      <c r="H794" s="2"/>
      <c r="I794" s="40"/>
      <c r="J794" s="39"/>
    </row>
    <row r="795" spans="1:10" s="28" customFormat="1" ht="21" x14ac:dyDescent="0.35">
      <c r="A795" s="1"/>
      <c r="B795" s="2"/>
      <c r="C795" s="2"/>
      <c r="D795" s="2"/>
      <c r="E795" s="2"/>
      <c r="F795" s="2"/>
      <c r="G795" s="2"/>
      <c r="H795" s="2"/>
      <c r="I795" s="40"/>
      <c r="J795" s="39"/>
    </row>
    <row r="796" spans="1:10" s="28" customFormat="1" ht="21" x14ac:dyDescent="0.35">
      <c r="A796" s="1"/>
      <c r="B796" s="2"/>
      <c r="C796" s="2"/>
      <c r="D796" s="2"/>
      <c r="E796" s="2"/>
      <c r="F796" s="2"/>
      <c r="G796" s="2"/>
      <c r="H796" s="2"/>
      <c r="I796" s="40"/>
      <c r="J796" s="39"/>
    </row>
    <row r="797" spans="1:10" s="28" customFormat="1" ht="21" x14ac:dyDescent="0.35">
      <c r="A797" s="1"/>
      <c r="B797" s="2"/>
      <c r="C797" s="2"/>
      <c r="D797" s="2"/>
      <c r="E797" s="2"/>
      <c r="F797" s="2"/>
      <c r="G797" s="2"/>
      <c r="H797" s="2"/>
      <c r="I797" s="40"/>
      <c r="J797" s="39"/>
    </row>
    <row r="798" spans="1:10" s="28" customFormat="1" ht="21" x14ac:dyDescent="0.35">
      <c r="A798" s="1"/>
      <c r="B798" s="2"/>
      <c r="C798" s="2"/>
      <c r="D798" s="2"/>
      <c r="E798" s="2"/>
      <c r="F798" s="2"/>
      <c r="G798" s="2"/>
      <c r="H798" s="2"/>
      <c r="I798" s="40"/>
      <c r="J798" s="39"/>
    </row>
    <row r="799" spans="1:10" s="28" customFormat="1" ht="21" x14ac:dyDescent="0.35">
      <c r="A799" s="1"/>
      <c r="B799" s="2"/>
      <c r="C799" s="2"/>
      <c r="D799" s="2"/>
      <c r="E799" s="2"/>
      <c r="F799" s="2"/>
      <c r="G799" s="2"/>
      <c r="H799" s="2"/>
      <c r="I799" s="40"/>
      <c r="J799" s="39"/>
    </row>
    <row r="800" spans="1:10" s="28" customFormat="1" ht="21" x14ac:dyDescent="0.35">
      <c r="A800" s="1"/>
      <c r="B800" s="2"/>
      <c r="C800" s="2"/>
      <c r="D800" s="2"/>
      <c r="E800" s="2"/>
      <c r="F800" s="2"/>
      <c r="G800" s="2"/>
      <c r="H800" s="2"/>
      <c r="I800" s="40"/>
      <c r="J800" s="39"/>
    </row>
    <row r="801" spans="1:10" s="28" customFormat="1" ht="21" x14ac:dyDescent="0.35">
      <c r="A801" s="1"/>
      <c r="B801" s="2"/>
      <c r="C801" s="2"/>
      <c r="D801" s="2"/>
      <c r="E801" s="2"/>
      <c r="F801" s="2"/>
      <c r="G801" s="2"/>
      <c r="H801" s="2"/>
      <c r="I801" s="40"/>
      <c r="J801" s="39"/>
    </row>
    <row r="802" spans="1:10" s="28" customFormat="1" ht="21" x14ac:dyDescent="0.35">
      <c r="A802" s="1"/>
      <c r="B802" s="2"/>
      <c r="C802" s="2"/>
      <c r="D802" s="2"/>
      <c r="E802" s="2"/>
      <c r="F802" s="2"/>
      <c r="G802" s="2"/>
      <c r="H802" s="2"/>
      <c r="I802" s="40"/>
      <c r="J802" s="39"/>
    </row>
    <row r="803" spans="1:10" s="28" customFormat="1" ht="21" x14ac:dyDescent="0.35">
      <c r="A803" s="1"/>
      <c r="B803" s="2"/>
      <c r="C803" s="2"/>
      <c r="D803" s="2"/>
      <c r="E803" s="2"/>
      <c r="F803" s="2"/>
      <c r="G803" s="2"/>
      <c r="H803" s="2"/>
      <c r="I803" s="40"/>
      <c r="J803" s="39"/>
    </row>
    <row r="804" spans="1:10" s="28" customFormat="1" ht="21" x14ac:dyDescent="0.35">
      <c r="A804" s="1"/>
      <c r="B804" s="2"/>
      <c r="C804" s="2"/>
      <c r="D804" s="2"/>
      <c r="E804" s="2"/>
      <c r="F804" s="2"/>
      <c r="G804" s="2"/>
      <c r="H804" s="2"/>
      <c r="I804" s="40"/>
      <c r="J804" s="39"/>
    </row>
    <row r="805" spans="1:10" s="28" customFormat="1" ht="21" x14ac:dyDescent="0.35">
      <c r="A805" s="1"/>
      <c r="B805" s="2"/>
      <c r="C805" s="2"/>
      <c r="D805" s="2"/>
      <c r="E805" s="2"/>
      <c r="F805" s="2"/>
      <c r="G805" s="2"/>
      <c r="H805" s="2"/>
      <c r="I805" s="40"/>
      <c r="J805" s="39"/>
    </row>
    <row r="806" spans="1:10" s="28" customFormat="1" ht="21" x14ac:dyDescent="0.35">
      <c r="A806" s="1"/>
      <c r="B806" s="2"/>
      <c r="C806" s="2"/>
      <c r="D806" s="2"/>
      <c r="E806" s="2"/>
      <c r="F806" s="2"/>
      <c r="G806" s="2"/>
      <c r="H806" s="2"/>
      <c r="I806" s="40"/>
      <c r="J806" s="39"/>
    </row>
    <row r="807" spans="1:10" s="28" customFormat="1" ht="21" x14ac:dyDescent="0.35">
      <c r="A807" s="1"/>
      <c r="B807" s="2"/>
      <c r="C807" s="2"/>
      <c r="D807" s="2"/>
      <c r="E807" s="2"/>
      <c r="F807" s="2"/>
      <c r="G807" s="2"/>
      <c r="H807" s="2"/>
      <c r="I807" s="40"/>
      <c r="J807" s="39"/>
    </row>
    <row r="808" spans="1:10" s="28" customFormat="1" ht="21" x14ac:dyDescent="0.35">
      <c r="A808" s="1"/>
      <c r="B808" s="2"/>
      <c r="C808" s="2"/>
      <c r="D808" s="2"/>
      <c r="E808" s="2"/>
      <c r="F808" s="2"/>
      <c r="G808" s="2"/>
      <c r="H808" s="2"/>
      <c r="I808" s="40"/>
      <c r="J808" s="39"/>
    </row>
    <row r="809" spans="1:10" s="28" customFormat="1" ht="21" x14ac:dyDescent="0.35">
      <c r="A809" s="1"/>
      <c r="B809" s="2"/>
      <c r="C809" s="2"/>
      <c r="D809" s="2"/>
      <c r="E809" s="2"/>
      <c r="F809" s="2"/>
      <c r="G809" s="2"/>
      <c r="H809" s="2"/>
      <c r="I809" s="40"/>
      <c r="J809" s="39"/>
    </row>
    <row r="810" spans="1:10" s="28" customFormat="1" ht="21" x14ac:dyDescent="0.35">
      <c r="A810" s="1"/>
      <c r="B810" s="2"/>
      <c r="C810" s="2"/>
      <c r="D810" s="2"/>
      <c r="E810" s="2"/>
      <c r="F810" s="2"/>
      <c r="G810" s="2"/>
      <c r="H810" s="2"/>
      <c r="I810" s="40"/>
      <c r="J810" s="39"/>
    </row>
    <row r="811" spans="1:10" s="28" customFormat="1" ht="21" x14ac:dyDescent="0.35">
      <c r="A811" s="1"/>
      <c r="B811" s="2"/>
      <c r="C811" s="2"/>
      <c r="D811" s="2"/>
      <c r="E811" s="2"/>
      <c r="F811" s="2"/>
      <c r="G811" s="2"/>
      <c r="H811" s="2"/>
      <c r="I811" s="40"/>
      <c r="J811" s="39"/>
    </row>
    <row r="812" spans="1:10" s="28" customFormat="1" ht="21" x14ac:dyDescent="0.35">
      <c r="A812" s="1"/>
      <c r="B812" s="2"/>
      <c r="C812" s="2"/>
      <c r="D812" s="2"/>
      <c r="E812" s="2"/>
      <c r="F812" s="2"/>
      <c r="G812" s="2"/>
      <c r="H812" s="2"/>
      <c r="I812" s="40"/>
      <c r="J812" s="39"/>
    </row>
    <row r="813" spans="1:10" s="28" customFormat="1" ht="21" x14ac:dyDescent="0.35">
      <c r="A813" s="1"/>
      <c r="B813" s="2"/>
      <c r="C813" s="2"/>
      <c r="D813" s="2"/>
      <c r="E813" s="2"/>
      <c r="F813" s="2"/>
      <c r="G813" s="2"/>
      <c r="H813" s="2"/>
      <c r="I813" s="40"/>
      <c r="J813" s="39"/>
    </row>
    <row r="814" spans="1:10" s="28" customFormat="1" ht="21" x14ac:dyDescent="0.35">
      <c r="A814" s="1"/>
      <c r="B814" s="2"/>
      <c r="C814" s="2"/>
      <c r="D814" s="2"/>
      <c r="E814" s="2"/>
      <c r="F814" s="2"/>
      <c r="G814" s="2"/>
      <c r="H814" s="2"/>
      <c r="I814" s="40"/>
      <c r="J814" s="39"/>
    </row>
    <row r="815" spans="1:10" s="28" customFormat="1" ht="21" x14ac:dyDescent="0.35">
      <c r="A815" s="1"/>
      <c r="B815" s="2"/>
      <c r="C815" s="2"/>
      <c r="D815" s="2"/>
      <c r="E815" s="2"/>
      <c r="F815" s="2"/>
      <c r="G815" s="2"/>
      <c r="H815" s="2"/>
      <c r="I815" s="40"/>
      <c r="J815" s="39"/>
    </row>
    <row r="816" spans="1:10" s="28" customFormat="1" ht="21" x14ac:dyDescent="0.35">
      <c r="A816" s="1"/>
      <c r="B816" s="2"/>
      <c r="C816" s="2"/>
      <c r="D816" s="2"/>
      <c r="E816" s="2"/>
      <c r="F816" s="2"/>
      <c r="G816" s="2"/>
      <c r="H816" s="2"/>
      <c r="I816" s="40"/>
      <c r="J816" s="39"/>
    </row>
    <row r="817" spans="1:10" s="28" customFormat="1" ht="21" x14ac:dyDescent="0.35">
      <c r="A817" s="1"/>
      <c r="B817" s="2"/>
      <c r="C817" s="2"/>
      <c r="D817" s="2"/>
      <c r="E817" s="2"/>
      <c r="F817" s="2"/>
      <c r="G817" s="2"/>
      <c r="H817" s="2"/>
      <c r="I817" s="40"/>
      <c r="J817" s="39"/>
    </row>
    <row r="818" spans="1:10" s="28" customFormat="1" ht="21" x14ac:dyDescent="0.35">
      <c r="A818" s="1"/>
      <c r="B818" s="2"/>
      <c r="C818" s="2"/>
      <c r="D818" s="2"/>
      <c r="E818" s="2"/>
      <c r="F818" s="2"/>
      <c r="G818" s="2"/>
      <c r="H818" s="2"/>
      <c r="I818" s="40"/>
      <c r="J818" s="39"/>
    </row>
    <row r="819" spans="1:10" s="28" customFormat="1" ht="21" x14ac:dyDescent="0.35">
      <c r="A819" s="1"/>
      <c r="B819" s="2"/>
      <c r="C819" s="2"/>
      <c r="D819" s="2"/>
      <c r="E819" s="2"/>
      <c r="F819" s="2"/>
      <c r="G819" s="2"/>
      <c r="H819" s="2"/>
      <c r="I819" s="40"/>
      <c r="J819" s="39"/>
    </row>
    <row r="820" spans="1:10" s="28" customFormat="1" ht="21" x14ac:dyDescent="0.35">
      <c r="A820" s="1"/>
      <c r="B820" s="2"/>
      <c r="C820" s="2"/>
      <c r="D820" s="2"/>
      <c r="E820" s="2"/>
      <c r="F820" s="2"/>
      <c r="G820" s="2"/>
      <c r="H820" s="2"/>
      <c r="I820" s="40"/>
      <c r="J820" s="39"/>
    </row>
    <row r="821" spans="1:10" s="28" customFormat="1" ht="21" x14ac:dyDescent="0.35">
      <c r="A821" s="1"/>
      <c r="B821" s="2"/>
      <c r="C821" s="2"/>
      <c r="D821" s="2"/>
      <c r="E821" s="2"/>
      <c r="F821" s="2"/>
      <c r="G821" s="2"/>
      <c r="H821" s="2"/>
      <c r="I821" s="40"/>
      <c r="J821" s="39"/>
    </row>
    <row r="822" spans="1:10" s="28" customFormat="1" ht="21" x14ac:dyDescent="0.35">
      <c r="A822" s="1"/>
      <c r="B822" s="2"/>
      <c r="C822" s="2"/>
      <c r="D822" s="2"/>
      <c r="E822" s="2"/>
      <c r="F822" s="2"/>
      <c r="G822" s="2"/>
      <c r="H822" s="2"/>
      <c r="I822" s="40"/>
      <c r="J822" s="39"/>
    </row>
    <row r="823" spans="1:10" s="28" customFormat="1" ht="21" x14ac:dyDescent="0.35">
      <c r="A823" s="1"/>
      <c r="B823" s="2"/>
      <c r="C823" s="2"/>
      <c r="D823" s="2"/>
      <c r="E823" s="2"/>
      <c r="F823" s="2"/>
      <c r="G823" s="2"/>
      <c r="H823" s="2"/>
      <c r="I823" s="40"/>
      <c r="J823" s="39"/>
    </row>
    <row r="824" spans="1:10" s="28" customFormat="1" ht="21" x14ac:dyDescent="0.35">
      <c r="A824" s="1"/>
      <c r="B824" s="2"/>
      <c r="C824" s="2"/>
      <c r="D824" s="2"/>
      <c r="E824" s="2"/>
      <c r="F824" s="2"/>
      <c r="G824" s="2"/>
      <c r="H824" s="2"/>
      <c r="I824" s="40"/>
      <c r="J824" s="39"/>
    </row>
    <row r="825" spans="1:10" s="28" customFormat="1" ht="21" x14ac:dyDescent="0.35">
      <c r="A825" s="1"/>
      <c r="B825" s="2"/>
      <c r="C825" s="2"/>
      <c r="D825" s="2"/>
      <c r="E825" s="2"/>
      <c r="F825" s="2"/>
      <c r="G825" s="2"/>
      <c r="H825" s="2"/>
      <c r="I825" s="40"/>
      <c r="J825" s="39"/>
    </row>
    <row r="826" spans="1:10" s="28" customFormat="1" ht="21" x14ac:dyDescent="0.35">
      <c r="A826" s="1"/>
      <c r="B826" s="2"/>
      <c r="C826" s="2"/>
      <c r="D826" s="2"/>
      <c r="E826" s="2"/>
      <c r="F826" s="2"/>
      <c r="G826" s="2"/>
      <c r="H826" s="2"/>
      <c r="I826" s="40"/>
      <c r="J826" s="39"/>
    </row>
    <row r="827" spans="1:10" s="28" customFormat="1" ht="21" x14ac:dyDescent="0.35">
      <c r="A827" s="1"/>
      <c r="B827" s="2"/>
      <c r="C827" s="2"/>
      <c r="D827" s="2"/>
      <c r="E827" s="2"/>
      <c r="F827" s="2"/>
      <c r="G827" s="2"/>
      <c r="H827" s="2"/>
      <c r="I827" s="40"/>
      <c r="J827" s="39"/>
    </row>
    <row r="828" spans="1:10" s="28" customFormat="1" ht="21" x14ac:dyDescent="0.35">
      <c r="A828" s="1"/>
      <c r="B828" s="2"/>
      <c r="C828" s="2"/>
      <c r="D828" s="2"/>
      <c r="E828" s="2"/>
      <c r="F828" s="2"/>
      <c r="G828" s="2"/>
      <c r="H828" s="2"/>
      <c r="I828" s="40"/>
      <c r="J828" s="39"/>
    </row>
    <row r="829" spans="1:10" s="28" customFormat="1" ht="21" x14ac:dyDescent="0.35">
      <c r="A829" s="1"/>
      <c r="B829" s="2"/>
      <c r="C829" s="2"/>
      <c r="D829" s="2"/>
      <c r="E829" s="2"/>
      <c r="F829" s="2"/>
      <c r="G829" s="2"/>
      <c r="H829" s="2"/>
      <c r="I829" s="40"/>
      <c r="J829" s="39"/>
    </row>
    <row r="830" spans="1:10" s="28" customFormat="1" ht="21" x14ac:dyDescent="0.35">
      <c r="A830" s="1"/>
      <c r="B830" s="2"/>
      <c r="C830" s="2"/>
      <c r="D830" s="2"/>
      <c r="E830" s="2"/>
      <c r="F830" s="2"/>
      <c r="G830" s="2"/>
      <c r="H830" s="2"/>
      <c r="I830" s="40"/>
      <c r="J830" s="39"/>
    </row>
    <row r="831" spans="1:10" s="28" customFormat="1" ht="21" x14ac:dyDescent="0.35">
      <c r="A831" s="1"/>
      <c r="B831" s="2"/>
      <c r="C831" s="2"/>
      <c r="D831" s="2"/>
      <c r="E831" s="2"/>
      <c r="F831" s="2"/>
      <c r="G831" s="2"/>
      <c r="H831" s="2"/>
      <c r="I831" s="40"/>
      <c r="J831" s="39"/>
    </row>
    <row r="832" spans="1:10" s="28" customFormat="1" ht="21" x14ac:dyDescent="0.35">
      <c r="A832" s="1"/>
      <c r="B832" s="2"/>
      <c r="C832" s="2"/>
      <c r="D832" s="2"/>
      <c r="E832" s="2"/>
      <c r="F832" s="2"/>
      <c r="G832" s="2"/>
      <c r="H832" s="2"/>
      <c r="I832" s="40"/>
      <c r="J832" s="39"/>
    </row>
    <row r="833" spans="1:10" s="28" customFormat="1" ht="21" x14ac:dyDescent="0.35">
      <c r="A833" s="1"/>
      <c r="B833" s="2"/>
      <c r="C833" s="2"/>
      <c r="D833" s="2"/>
      <c r="E833" s="2"/>
      <c r="F833" s="2"/>
      <c r="G833" s="2"/>
      <c r="H833" s="2"/>
      <c r="I833" s="40"/>
      <c r="J833" s="39"/>
    </row>
    <row r="834" spans="1:10" s="28" customFormat="1" ht="21" x14ac:dyDescent="0.35">
      <c r="A834" s="1"/>
      <c r="B834" s="2"/>
      <c r="C834" s="2"/>
      <c r="D834" s="2"/>
      <c r="E834" s="2"/>
      <c r="F834" s="2"/>
      <c r="G834" s="2"/>
      <c r="H834" s="2"/>
      <c r="I834" s="40"/>
      <c r="J834" s="39"/>
    </row>
    <row r="835" spans="1:10" s="28" customFormat="1" ht="21" x14ac:dyDescent="0.35">
      <c r="A835" s="1"/>
      <c r="B835" s="2"/>
      <c r="C835" s="2"/>
      <c r="D835" s="2"/>
      <c r="E835" s="2"/>
      <c r="F835" s="2"/>
      <c r="G835" s="2"/>
      <c r="H835" s="2"/>
      <c r="I835" s="40"/>
      <c r="J835" s="39"/>
    </row>
    <row r="836" spans="1:10" s="28" customFormat="1" ht="21" x14ac:dyDescent="0.35">
      <c r="A836" s="1"/>
      <c r="B836" s="2"/>
      <c r="C836" s="2"/>
      <c r="D836" s="2"/>
      <c r="E836" s="2"/>
      <c r="F836" s="2"/>
      <c r="G836" s="2"/>
      <c r="H836" s="2"/>
      <c r="I836" s="40"/>
      <c r="J836" s="39"/>
    </row>
    <row r="837" spans="1:10" s="28" customFormat="1" ht="21" x14ac:dyDescent="0.35">
      <c r="A837" s="1"/>
      <c r="B837" s="2"/>
      <c r="C837" s="2"/>
      <c r="D837" s="2"/>
      <c r="E837" s="2"/>
      <c r="F837" s="2"/>
      <c r="G837" s="2"/>
      <c r="H837" s="2"/>
      <c r="I837" s="40"/>
      <c r="J837" s="39"/>
    </row>
    <row r="838" spans="1:10" s="28" customFormat="1" ht="21" x14ac:dyDescent="0.35">
      <c r="A838" s="1"/>
      <c r="B838" s="2"/>
      <c r="C838" s="2"/>
      <c r="D838" s="2"/>
      <c r="E838" s="2"/>
      <c r="F838" s="2"/>
      <c r="G838" s="2"/>
      <c r="H838" s="2"/>
      <c r="I838" s="40"/>
      <c r="J838" s="39"/>
    </row>
    <row r="839" spans="1:10" s="28" customFormat="1" ht="21" x14ac:dyDescent="0.35">
      <c r="A839" s="1"/>
      <c r="B839" s="2"/>
      <c r="C839" s="2"/>
      <c r="D839" s="2"/>
      <c r="E839" s="2"/>
      <c r="F839" s="2"/>
      <c r="G839" s="2"/>
      <c r="H839" s="2"/>
      <c r="I839" s="40"/>
      <c r="J839" s="39"/>
    </row>
    <row r="840" spans="1:10" s="28" customFormat="1" ht="21" x14ac:dyDescent="0.35">
      <c r="A840" s="1"/>
      <c r="B840" s="2"/>
      <c r="C840" s="2"/>
      <c r="D840" s="2"/>
      <c r="E840" s="2"/>
      <c r="F840" s="2"/>
      <c r="G840" s="2"/>
      <c r="H840" s="2"/>
      <c r="I840" s="40"/>
      <c r="J840" s="39"/>
    </row>
    <row r="841" spans="1:10" s="28" customFormat="1" ht="21" x14ac:dyDescent="0.35">
      <c r="A841" s="1"/>
      <c r="B841" s="2"/>
      <c r="C841" s="2"/>
      <c r="D841" s="2"/>
      <c r="E841" s="2"/>
      <c r="F841" s="2"/>
      <c r="G841" s="2"/>
      <c r="H841" s="2"/>
      <c r="I841" s="40"/>
      <c r="J841" s="39"/>
    </row>
    <row r="842" spans="1:10" s="28" customFormat="1" ht="21" x14ac:dyDescent="0.35">
      <c r="A842" s="1"/>
      <c r="B842" s="2"/>
      <c r="C842" s="2"/>
      <c r="D842" s="2"/>
      <c r="E842" s="2"/>
      <c r="F842" s="2"/>
      <c r="G842" s="2"/>
      <c r="H842" s="2"/>
      <c r="I842" s="40"/>
      <c r="J842" s="39"/>
    </row>
    <row r="843" spans="1:10" s="28" customFormat="1" ht="21" x14ac:dyDescent="0.35">
      <c r="A843" s="1"/>
      <c r="B843" s="2"/>
      <c r="C843" s="2"/>
      <c r="D843" s="2"/>
      <c r="E843" s="2"/>
      <c r="F843" s="2"/>
      <c r="G843" s="2"/>
      <c r="H843" s="2"/>
      <c r="I843" s="40"/>
      <c r="J843" s="39"/>
    </row>
    <row r="844" spans="1:10" s="28" customFormat="1" ht="21" x14ac:dyDescent="0.35">
      <c r="A844" s="1"/>
      <c r="B844" s="2"/>
      <c r="C844" s="2"/>
      <c r="D844" s="2"/>
      <c r="E844" s="2"/>
      <c r="F844" s="2"/>
      <c r="G844" s="2"/>
      <c r="H844" s="2"/>
      <c r="I844" s="40"/>
      <c r="J844" s="39"/>
    </row>
    <row r="845" spans="1:10" s="28" customFormat="1" ht="21" x14ac:dyDescent="0.35">
      <c r="A845" s="1"/>
      <c r="B845" s="2"/>
      <c r="C845" s="2"/>
      <c r="D845" s="2"/>
      <c r="E845" s="2"/>
      <c r="F845" s="2"/>
      <c r="G845" s="2"/>
      <c r="H845" s="2"/>
      <c r="I845" s="40"/>
      <c r="J845" s="39"/>
    </row>
    <row r="846" spans="1:10" s="28" customFormat="1" ht="21" x14ac:dyDescent="0.35">
      <c r="A846" s="1"/>
      <c r="B846" s="2"/>
      <c r="C846" s="2"/>
      <c r="D846" s="2"/>
      <c r="E846" s="2"/>
      <c r="F846" s="2"/>
      <c r="G846" s="2"/>
      <c r="H846" s="2"/>
      <c r="I846" s="40"/>
      <c r="J846" s="39"/>
    </row>
    <row r="847" spans="1:10" s="28" customFormat="1" ht="21" x14ac:dyDescent="0.35">
      <c r="A847" s="1"/>
      <c r="B847" s="2"/>
      <c r="C847" s="2"/>
      <c r="D847" s="2"/>
      <c r="E847" s="2"/>
      <c r="F847" s="2"/>
      <c r="G847" s="2"/>
      <c r="H847" s="2"/>
      <c r="I847" s="40"/>
      <c r="J847" s="39"/>
    </row>
    <row r="848" spans="1:10" s="28" customFormat="1" ht="21" x14ac:dyDescent="0.35">
      <c r="A848" s="1"/>
      <c r="B848" s="2"/>
      <c r="C848" s="2"/>
      <c r="D848" s="2"/>
      <c r="E848" s="2"/>
      <c r="F848" s="2"/>
      <c r="G848" s="2"/>
      <c r="H848" s="2"/>
      <c r="I848" s="40"/>
      <c r="J848" s="39"/>
    </row>
    <row r="849" spans="1:10" s="28" customFormat="1" ht="21" x14ac:dyDescent="0.35">
      <c r="A849" s="1"/>
      <c r="B849" s="2"/>
      <c r="C849" s="2"/>
      <c r="D849" s="2"/>
      <c r="E849" s="2"/>
      <c r="F849" s="2"/>
      <c r="G849" s="2"/>
      <c r="H849" s="2"/>
      <c r="I849" s="40"/>
      <c r="J849" s="39"/>
    </row>
    <row r="850" spans="1:10" s="28" customFormat="1" ht="21" x14ac:dyDescent="0.35">
      <c r="A850" s="1"/>
      <c r="B850" s="2"/>
      <c r="C850" s="2"/>
      <c r="D850" s="2"/>
      <c r="E850" s="2"/>
      <c r="F850" s="2"/>
      <c r="G850" s="2"/>
      <c r="H850" s="2"/>
      <c r="I850" s="40"/>
      <c r="J850" s="39"/>
    </row>
    <row r="851" spans="1:10" s="28" customFormat="1" ht="21" x14ac:dyDescent="0.35">
      <c r="A851" s="1"/>
      <c r="B851" s="2"/>
      <c r="C851" s="2"/>
      <c r="D851" s="2"/>
      <c r="E851" s="2"/>
      <c r="F851" s="2"/>
      <c r="G851" s="2"/>
      <c r="H851" s="2"/>
      <c r="I851" s="40"/>
      <c r="J851" s="39"/>
    </row>
    <row r="852" spans="1:10" s="28" customFormat="1" ht="21" x14ac:dyDescent="0.35">
      <c r="A852" s="1"/>
      <c r="B852" s="2"/>
      <c r="C852" s="2"/>
      <c r="D852" s="2"/>
      <c r="E852" s="2"/>
      <c r="F852" s="2"/>
      <c r="G852" s="2"/>
      <c r="H852" s="2"/>
      <c r="I852" s="40"/>
      <c r="J852" s="39"/>
    </row>
    <row r="853" spans="1:10" s="28" customFormat="1" ht="21" x14ac:dyDescent="0.35">
      <c r="A853" s="1"/>
      <c r="B853" s="2"/>
      <c r="C853" s="2"/>
      <c r="D853" s="2"/>
      <c r="E853" s="2"/>
      <c r="F853" s="2"/>
      <c r="G853" s="2"/>
      <c r="H853" s="2"/>
      <c r="I853" s="40"/>
      <c r="J853" s="39"/>
    </row>
    <row r="854" spans="1:10" s="28" customFormat="1" ht="21" x14ac:dyDescent="0.35">
      <c r="A854" s="1"/>
      <c r="B854" s="2"/>
      <c r="C854" s="2"/>
      <c r="D854" s="2"/>
      <c r="E854" s="2"/>
      <c r="F854" s="2"/>
      <c r="G854" s="2"/>
      <c r="H854" s="2"/>
      <c r="I854" s="40"/>
      <c r="J854" s="39"/>
    </row>
    <row r="855" spans="1:10" s="28" customFormat="1" ht="21" x14ac:dyDescent="0.35">
      <c r="A855" s="1"/>
      <c r="B855" s="2"/>
      <c r="C855" s="2"/>
      <c r="D855" s="2"/>
      <c r="E855" s="2"/>
      <c r="F855" s="2"/>
      <c r="G855" s="2"/>
      <c r="H855" s="2"/>
      <c r="I855" s="40"/>
      <c r="J855" s="39"/>
    </row>
    <row r="856" spans="1:10" s="28" customFormat="1" ht="21" x14ac:dyDescent="0.35">
      <c r="A856" s="1"/>
      <c r="B856" s="2"/>
      <c r="C856" s="2"/>
      <c r="D856" s="2"/>
      <c r="E856" s="2"/>
      <c r="F856" s="2"/>
      <c r="G856" s="2"/>
      <c r="H856" s="2"/>
      <c r="I856" s="40"/>
      <c r="J856" s="39"/>
    </row>
    <row r="857" spans="1:10" s="28" customFormat="1" ht="21" x14ac:dyDescent="0.35">
      <c r="A857" s="1"/>
      <c r="B857" s="2"/>
      <c r="C857" s="2"/>
      <c r="D857" s="2"/>
      <c r="E857" s="2"/>
      <c r="F857" s="2"/>
      <c r="G857" s="2"/>
      <c r="H857" s="2"/>
      <c r="I857" s="40"/>
      <c r="J857" s="39"/>
    </row>
    <row r="858" spans="1:10" s="28" customFormat="1" ht="21" x14ac:dyDescent="0.35">
      <c r="A858" s="1"/>
      <c r="B858" s="2"/>
      <c r="C858" s="2"/>
      <c r="D858" s="2"/>
      <c r="E858" s="2"/>
      <c r="F858" s="2"/>
      <c r="G858" s="2"/>
      <c r="H858" s="2"/>
      <c r="I858" s="40"/>
      <c r="J858" s="39"/>
    </row>
    <row r="859" spans="1:10" s="28" customFormat="1" ht="21" x14ac:dyDescent="0.35">
      <c r="A859" s="1"/>
      <c r="B859" s="2"/>
      <c r="C859" s="2"/>
      <c r="D859" s="2"/>
      <c r="E859" s="2"/>
      <c r="F859" s="2"/>
      <c r="G859" s="2"/>
      <c r="H859" s="2"/>
      <c r="I859" s="40"/>
      <c r="J859" s="39"/>
    </row>
    <row r="860" spans="1:10" s="28" customFormat="1" ht="21" x14ac:dyDescent="0.35">
      <c r="A860" s="1"/>
      <c r="B860" s="2"/>
      <c r="C860" s="2"/>
      <c r="D860" s="2"/>
      <c r="E860" s="2"/>
      <c r="F860" s="2"/>
      <c r="G860" s="2"/>
      <c r="H860" s="2"/>
      <c r="I860" s="40"/>
      <c r="J860" s="39"/>
    </row>
    <row r="861" spans="1:10" s="28" customFormat="1" ht="21" x14ac:dyDescent="0.35">
      <c r="A861" s="1"/>
      <c r="B861" s="2"/>
      <c r="C861" s="2"/>
      <c r="D861" s="2"/>
      <c r="E861" s="2"/>
      <c r="F861" s="2"/>
      <c r="G861" s="2"/>
      <c r="H861" s="2"/>
      <c r="I861" s="40"/>
      <c r="J861" s="39"/>
    </row>
    <row r="862" spans="1:10" s="28" customFormat="1" ht="21" x14ac:dyDescent="0.35">
      <c r="A862" s="1"/>
      <c r="B862" s="2"/>
      <c r="C862" s="2"/>
      <c r="D862" s="2"/>
      <c r="E862" s="2"/>
      <c r="F862" s="2"/>
      <c r="G862" s="2"/>
      <c r="H862" s="2"/>
      <c r="I862" s="40"/>
      <c r="J862" s="39"/>
    </row>
    <row r="863" spans="1:10" s="28" customFormat="1" ht="21" x14ac:dyDescent="0.35">
      <c r="A863" s="1"/>
      <c r="B863" s="2"/>
      <c r="C863" s="2"/>
      <c r="D863" s="2"/>
      <c r="E863" s="2"/>
      <c r="F863" s="2"/>
      <c r="G863" s="2"/>
      <c r="H863" s="2"/>
      <c r="I863" s="40"/>
      <c r="J863" s="39"/>
    </row>
    <row r="864" spans="1:10" s="28" customFormat="1" ht="21" x14ac:dyDescent="0.35">
      <c r="A864" s="1"/>
      <c r="B864" s="2"/>
      <c r="C864" s="2"/>
      <c r="D864" s="2"/>
      <c r="E864" s="2"/>
      <c r="F864" s="2"/>
      <c r="G864" s="2"/>
      <c r="H864" s="2"/>
      <c r="I864" s="40"/>
      <c r="J864" s="39"/>
    </row>
    <row r="865" spans="1:10" s="28" customFormat="1" ht="21" x14ac:dyDescent="0.35">
      <c r="A865" s="1"/>
      <c r="B865" s="2"/>
      <c r="C865" s="2"/>
      <c r="D865" s="2"/>
      <c r="E865" s="2"/>
      <c r="F865" s="2"/>
      <c r="G865" s="2"/>
      <c r="H865" s="2"/>
      <c r="I865" s="40"/>
      <c r="J865" s="39"/>
    </row>
    <row r="866" spans="1:10" s="28" customFormat="1" ht="21" x14ac:dyDescent="0.35">
      <c r="A866" s="1"/>
      <c r="B866" s="2"/>
      <c r="C866" s="2"/>
      <c r="D866" s="2"/>
      <c r="E866" s="2"/>
      <c r="F866" s="2"/>
      <c r="G866" s="2"/>
      <c r="H866" s="2"/>
      <c r="I866" s="40"/>
      <c r="J866" s="39"/>
    </row>
    <row r="867" spans="1:10" s="28" customFormat="1" ht="21" x14ac:dyDescent="0.35">
      <c r="A867" s="1"/>
      <c r="B867" s="2"/>
      <c r="C867" s="2"/>
      <c r="D867" s="2"/>
      <c r="E867" s="2"/>
      <c r="F867" s="2"/>
      <c r="G867" s="2"/>
      <c r="H867" s="2"/>
      <c r="I867" s="40"/>
      <c r="J867" s="39"/>
    </row>
    <row r="868" spans="1:10" s="28" customFormat="1" ht="21" x14ac:dyDescent="0.35">
      <c r="A868" s="1"/>
      <c r="B868" s="2"/>
      <c r="C868" s="2"/>
      <c r="D868" s="2"/>
      <c r="E868" s="2"/>
      <c r="F868" s="2"/>
      <c r="G868" s="2"/>
      <c r="H868" s="2"/>
      <c r="I868" s="40"/>
      <c r="J868" s="39"/>
    </row>
    <row r="869" spans="1:10" s="28" customFormat="1" ht="21" x14ac:dyDescent="0.35">
      <c r="A869" s="1"/>
      <c r="B869" s="2"/>
      <c r="C869" s="2"/>
      <c r="D869" s="2"/>
      <c r="E869" s="2"/>
      <c r="F869" s="2"/>
      <c r="G869" s="2"/>
      <c r="H869" s="2"/>
      <c r="I869" s="40"/>
      <c r="J869" s="39"/>
    </row>
    <row r="870" spans="1:10" s="28" customFormat="1" ht="21" x14ac:dyDescent="0.35">
      <c r="A870" s="1"/>
      <c r="B870" s="2"/>
      <c r="C870" s="2"/>
      <c r="D870" s="2"/>
      <c r="E870" s="2"/>
      <c r="F870" s="2"/>
      <c r="G870" s="2"/>
      <c r="H870" s="2"/>
      <c r="I870" s="40"/>
      <c r="J870" s="39"/>
    </row>
    <row r="871" spans="1:10" s="28" customFormat="1" ht="21" x14ac:dyDescent="0.35">
      <c r="A871" s="1"/>
      <c r="B871" s="2"/>
      <c r="C871" s="2"/>
      <c r="D871" s="2"/>
      <c r="E871" s="2"/>
      <c r="F871" s="2"/>
      <c r="G871" s="2"/>
      <c r="H871" s="2"/>
      <c r="I871" s="40"/>
      <c r="J871" s="39"/>
    </row>
    <row r="872" spans="1:10" s="28" customFormat="1" ht="21" x14ac:dyDescent="0.35">
      <c r="A872" s="1"/>
      <c r="B872" s="2"/>
      <c r="C872" s="2"/>
      <c r="D872" s="2"/>
      <c r="E872" s="2"/>
      <c r="F872" s="2"/>
      <c r="G872" s="2"/>
      <c r="H872" s="2"/>
      <c r="I872" s="40"/>
      <c r="J872" s="39"/>
    </row>
    <row r="873" spans="1:10" s="28" customFormat="1" ht="21" x14ac:dyDescent="0.35">
      <c r="A873" s="1"/>
      <c r="B873" s="2"/>
      <c r="C873" s="2"/>
      <c r="D873" s="2"/>
      <c r="E873" s="2"/>
      <c r="F873" s="2"/>
      <c r="G873" s="2"/>
      <c r="H873" s="2"/>
      <c r="I873" s="40"/>
      <c r="J873" s="39"/>
    </row>
    <row r="874" spans="1:10" s="28" customFormat="1" ht="21" x14ac:dyDescent="0.35">
      <c r="A874" s="1"/>
      <c r="B874" s="2"/>
      <c r="C874" s="2"/>
      <c r="D874" s="2"/>
      <c r="E874" s="2"/>
      <c r="F874" s="2"/>
      <c r="G874" s="2"/>
      <c r="H874" s="2"/>
      <c r="I874" s="40"/>
      <c r="J874" s="39"/>
    </row>
    <row r="875" spans="1:10" s="28" customFormat="1" ht="21" x14ac:dyDescent="0.35">
      <c r="A875" s="1"/>
      <c r="B875" s="2"/>
      <c r="C875" s="2"/>
      <c r="D875" s="2"/>
      <c r="E875" s="2"/>
      <c r="F875" s="2"/>
      <c r="G875" s="2"/>
      <c r="H875" s="2"/>
      <c r="I875" s="40"/>
      <c r="J875" s="39"/>
    </row>
    <row r="876" spans="1:10" s="28" customFormat="1" ht="21" x14ac:dyDescent="0.35">
      <c r="A876" s="1"/>
      <c r="B876" s="2"/>
      <c r="C876" s="2"/>
      <c r="D876" s="2"/>
      <c r="E876" s="2"/>
      <c r="F876" s="2"/>
      <c r="G876" s="2"/>
      <c r="H876" s="2"/>
      <c r="I876" s="40"/>
      <c r="J876" s="39"/>
    </row>
    <row r="877" spans="1:10" s="28" customFormat="1" ht="21" x14ac:dyDescent="0.35">
      <c r="A877" s="1"/>
      <c r="B877" s="2"/>
      <c r="C877" s="2"/>
      <c r="D877" s="2"/>
      <c r="E877" s="2"/>
      <c r="F877" s="2"/>
      <c r="G877" s="2"/>
      <c r="H877" s="2"/>
      <c r="I877" s="40"/>
      <c r="J877" s="39"/>
    </row>
    <row r="878" spans="1:10" s="28" customFormat="1" ht="21" x14ac:dyDescent="0.35">
      <c r="A878" s="1"/>
      <c r="B878" s="2"/>
      <c r="C878" s="2"/>
      <c r="D878" s="2"/>
      <c r="E878" s="2"/>
      <c r="F878" s="2"/>
      <c r="G878" s="2"/>
      <c r="H878" s="2"/>
      <c r="I878" s="40"/>
      <c r="J878" s="39"/>
    </row>
    <row r="879" spans="1:10" s="28" customFormat="1" ht="21" x14ac:dyDescent="0.35">
      <c r="A879" s="1"/>
      <c r="B879" s="2"/>
      <c r="C879" s="2"/>
      <c r="D879" s="2"/>
      <c r="E879" s="2"/>
      <c r="F879" s="2"/>
      <c r="G879" s="2"/>
      <c r="H879" s="2"/>
      <c r="I879" s="40"/>
      <c r="J879" s="39"/>
    </row>
    <row r="880" spans="1:10" s="28" customFormat="1" ht="21" x14ac:dyDescent="0.35">
      <c r="A880" s="1"/>
      <c r="B880" s="2"/>
      <c r="C880" s="2"/>
      <c r="D880" s="2"/>
      <c r="E880" s="2"/>
      <c r="F880" s="2"/>
      <c r="G880" s="2"/>
      <c r="H880" s="2"/>
      <c r="I880" s="40"/>
      <c r="J880" s="39"/>
    </row>
    <row r="881" spans="1:10" s="28" customFormat="1" ht="21" x14ac:dyDescent="0.35">
      <c r="A881" s="1"/>
      <c r="B881" s="2"/>
      <c r="C881" s="2"/>
      <c r="D881" s="2"/>
      <c r="E881" s="2"/>
      <c r="F881" s="2"/>
      <c r="G881" s="2"/>
      <c r="H881" s="2"/>
      <c r="I881" s="40"/>
      <c r="J881" s="39"/>
    </row>
    <row r="882" spans="1:10" s="28" customFormat="1" ht="21" x14ac:dyDescent="0.35">
      <c r="A882" s="1"/>
      <c r="B882" s="2"/>
      <c r="C882" s="2"/>
      <c r="D882" s="2"/>
      <c r="E882" s="2"/>
      <c r="F882" s="2"/>
      <c r="G882" s="2"/>
      <c r="H882" s="2"/>
      <c r="I882" s="40"/>
      <c r="J882" s="39"/>
    </row>
    <row r="883" spans="1:10" s="28" customFormat="1" ht="21" x14ac:dyDescent="0.35">
      <c r="A883" s="1"/>
      <c r="B883" s="2"/>
      <c r="C883" s="2"/>
      <c r="D883" s="2"/>
      <c r="E883" s="2"/>
      <c r="F883" s="2"/>
      <c r="G883" s="2"/>
      <c r="H883" s="2"/>
      <c r="I883" s="40"/>
      <c r="J883" s="39"/>
    </row>
    <row r="884" spans="1:10" s="28" customFormat="1" ht="21" x14ac:dyDescent="0.35">
      <c r="A884" s="1"/>
      <c r="B884" s="2"/>
      <c r="C884" s="2"/>
      <c r="D884" s="2"/>
      <c r="E884" s="2"/>
      <c r="F884" s="2"/>
      <c r="G884" s="2"/>
      <c r="H884" s="2"/>
      <c r="I884" s="40"/>
      <c r="J884" s="39"/>
    </row>
    <row r="885" spans="1:10" s="28" customFormat="1" ht="21" x14ac:dyDescent="0.35">
      <c r="A885" s="1"/>
      <c r="B885" s="2"/>
      <c r="C885" s="2"/>
      <c r="D885" s="2"/>
      <c r="E885" s="2"/>
      <c r="F885" s="2"/>
      <c r="G885" s="2"/>
      <c r="H885" s="2"/>
      <c r="I885" s="40"/>
      <c r="J885" s="39"/>
    </row>
    <row r="886" spans="1:10" s="28" customFormat="1" ht="21" x14ac:dyDescent="0.35">
      <c r="A886" s="1"/>
      <c r="B886" s="2"/>
      <c r="C886" s="2"/>
      <c r="D886" s="2"/>
      <c r="E886" s="2"/>
      <c r="F886" s="2"/>
      <c r="G886" s="2"/>
      <c r="H886" s="2"/>
      <c r="I886" s="40"/>
      <c r="J886" s="39"/>
    </row>
    <row r="887" spans="1:10" s="28" customFormat="1" ht="21" x14ac:dyDescent="0.35">
      <c r="A887" s="1"/>
      <c r="B887" s="2"/>
      <c r="C887" s="2"/>
      <c r="D887" s="2"/>
      <c r="E887" s="2"/>
      <c r="F887" s="2"/>
      <c r="G887" s="2"/>
      <c r="H887" s="2"/>
      <c r="I887" s="40"/>
      <c r="J887" s="39"/>
    </row>
    <row r="888" spans="1:10" s="28" customFormat="1" ht="21" x14ac:dyDescent="0.35">
      <c r="A888" s="1"/>
      <c r="B888" s="2"/>
      <c r="C888" s="2"/>
      <c r="D888" s="2"/>
      <c r="E888" s="2"/>
      <c r="F888" s="2"/>
      <c r="G888" s="2"/>
      <c r="H888" s="2"/>
      <c r="I888" s="40"/>
      <c r="J888" s="39"/>
    </row>
    <row r="889" spans="1:10" s="28" customFormat="1" ht="21" x14ac:dyDescent="0.35">
      <c r="A889" s="1"/>
      <c r="B889" s="2"/>
      <c r="C889" s="2"/>
      <c r="D889" s="2"/>
      <c r="E889" s="2"/>
      <c r="F889" s="2"/>
      <c r="G889" s="2"/>
      <c r="H889" s="2"/>
      <c r="I889" s="40"/>
      <c r="J889" s="39"/>
    </row>
    <row r="890" spans="1:10" s="28" customFormat="1" ht="21" x14ac:dyDescent="0.35">
      <c r="A890" s="1"/>
      <c r="B890" s="2"/>
      <c r="C890" s="2"/>
      <c r="D890" s="2"/>
      <c r="E890" s="2"/>
      <c r="F890" s="2"/>
      <c r="G890" s="2"/>
      <c r="H890" s="2"/>
      <c r="I890" s="40"/>
      <c r="J890" s="39"/>
    </row>
    <row r="891" spans="1:10" s="28" customFormat="1" ht="21" x14ac:dyDescent="0.35">
      <c r="A891" s="1"/>
      <c r="B891" s="2"/>
      <c r="C891" s="2"/>
      <c r="D891" s="2"/>
      <c r="E891" s="2"/>
      <c r="F891" s="2"/>
      <c r="G891" s="2"/>
      <c r="H891" s="2"/>
      <c r="I891" s="40"/>
      <c r="J891" s="39"/>
    </row>
    <row r="892" spans="1:10" s="28" customFormat="1" ht="21" x14ac:dyDescent="0.35">
      <c r="A892" s="1"/>
      <c r="B892" s="2"/>
      <c r="C892" s="2"/>
      <c r="D892" s="2"/>
      <c r="E892" s="2"/>
      <c r="F892" s="2"/>
      <c r="G892" s="2"/>
      <c r="H892" s="2"/>
      <c r="I892" s="40"/>
      <c r="J892" s="39"/>
    </row>
    <row r="893" spans="1:10" s="28" customFormat="1" ht="21" x14ac:dyDescent="0.35">
      <c r="A893" s="1"/>
      <c r="B893" s="2"/>
      <c r="C893" s="2"/>
      <c r="D893" s="2"/>
      <c r="E893" s="2"/>
      <c r="F893" s="2"/>
      <c r="G893" s="2"/>
      <c r="H893" s="2"/>
      <c r="I893" s="40"/>
      <c r="J893" s="39"/>
    </row>
    <row r="894" spans="1:10" s="28" customFormat="1" ht="21" x14ac:dyDescent="0.35">
      <c r="A894" s="1"/>
      <c r="B894" s="2"/>
      <c r="C894" s="2"/>
      <c r="D894" s="2"/>
      <c r="E894" s="2"/>
      <c r="F894" s="2"/>
      <c r="G894" s="2"/>
      <c r="H894" s="2"/>
      <c r="I894" s="40"/>
      <c r="J894" s="39"/>
    </row>
    <row r="895" spans="1:10" s="28" customFormat="1" ht="21" x14ac:dyDescent="0.35">
      <c r="A895" s="1"/>
      <c r="B895" s="2"/>
      <c r="C895" s="2"/>
      <c r="D895" s="2"/>
      <c r="E895" s="2"/>
      <c r="F895" s="2"/>
      <c r="G895" s="2"/>
      <c r="H895" s="2"/>
      <c r="I895" s="40"/>
      <c r="J895" s="39"/>
    </row>
    <row r="896" spans="1:10" s="28" customFormat="1" ht="21" x14ac:dyDescent="0.35">
      <c r="A896" s="1"/>
      <c r="B896" s="2"/>
      <c r="C896" s="2"/>
      <c r="D896" s="2"/>
      <c r="E896" s="2"/>
      <c r="F896" s="2"/>
      <c r="G896" s="2"/>
      <c r="H896" s="2"/>
      <c r="I896" s="40"/>
      <c r="J896" s="39"/>
    </row>
    <row r="897" spans="1:10" s="28" customFormat="1" ht="21" x14ac:dyDescent="0.35">
      <c r="A897" s="1"/>
      <c r="B897" s="2"/>
      <c r="C897" s="2"/>
      <c r="D897" s="2"/>
      <c r="E897" s="2"/>
      <c r="F897" s="2"/>
      <c r="G897" s="2"/>
      <c r="H897" s="2"/>
      <c r="I897" s="40"/>
      <c r="J897" s="39"/>
    </row>
    <row r="898" spans="1:10" s="28" customFormat="1" ht="21" x14ac:dyDescent="0.35">
      <c r="A898" s="1"/>
      <c r="B898" s="2"/>
      <c r="C898" s="2"/>
      <c r="D898" s="2"/>
      <c r="E898" s="2"/>
      <c r="F898" s="2"/>
      <c r="G898" s="2"/>
      <c r="H898" s="2"/>
      <c r="I898" s="40"/>
      <c r="J898" s="39"/>
    </row>
    <row r="899" spans="1:10" s="28" customFormat="1" ht="21" x14ac:dyDescent="0.35">
      <c r="A899" s="1"/>
      <c r="B899" s="2"/>
      <c r="C899" s="2"/>
      <c r="D899" s="2"/>
      <c r="E899" s="2"/>
      <c r="F899" s="2"/>
      <c r="G899" s="2"/>
      <c r="H899" s="2"/>
      <c r="I899" s="40"/>
      <c r="J899" s="39"/>
    </row>
    <row r="900" spans="1:10" s="28" customFormat="1" ht="21" x14ac:dyDescent="0.35">
      <c r="A900" s="1"/>
      <c r="B900" s="2"/>
      <c r="C900" s="2"/>
      <c r="D900" s="2"/>
      <c r="E900" s="2"/>
      <c r="F900" s="2"/>
      <c r="G900" s="2"/>
      <c r="H900" s="2"/>
      <c r="I900" s="40"/>
      <c r="J900" s="39"/>
    </row>
    <row r="901" spans="1:10" s="28" customFormat="1" ht="21" x14ac:dyDescent="0.35">
      <c r="A901" s="1"/>
      <c r="B901" s="2"/>
      <c r="C901" s="2"/>
      <c r="D901" s="2"/>
      <c r="E901" s="2"/>
      <c r="F901" s="2"/>
      <c r="G901" s="2"/>
      <c r="H901" s="2"/>
      <c r="I901" s="40"/>
      <c r="J901" s="39"/>
    </row>
    <row r="902" spans="1:10" s="28" customFormat="1" ht="21" x14ac:dyDescent="0.35">
      <c r="A902" s="1"/>
      <c r="B902" s="2"/>
      <c r="C902" s="2"/>
      <c r="D902" s="2"/>
      <c r="E902" s="2"/>
      <c r="F902" s="2"/>
      <c r="G902" s="2"/>
      <c r="H902" s="2"/>
      <c r="I902" s="40"/>
      <c r="J902" s="39"/>
    </row>
    <row r="903" spans="1:10" s="28" customFormat="1" ht="21" x14ac:dyDescent="0.35">
      <c r="A903" s="1"/>
      <c r="B903" s="2"/>
      <c r="C903" s="2"/>
      <c r="D903" s="2"/>
      <c r="E903" s="2"/>
      <c r="F903" s="2"/>
      <c r="G903" s="2"/>
      <c r="H903" s="2"/>
      <c r="I903" s="40"/>
      <c r="J903" s="39"/>
    </row>
    <row r="904" spans="1:10" s="28" customFormat="1" ht="21" x14ac:dyDescent="0.35">
      <c r="A904" s="1"/>
      <c r="B904" s="2"/>
      <c r="C904" s="2"/>
      <c r="D904" s="2"/>
      <c r="E904" s="2"/>
      <c r="F904" s="2"/>
      <c r="G904" s="2"/>
      <c r="H904" s="2"/>
      <c r="I904" s="40"/>
      <c r="J904" s="39"/>
    </row>
    <row r="905" spans="1:10" s="28" customFormat="1" ht="21" x14ac:dyDescent="0.35">
      <c r="A905" s="1"/>
      <c r="B905" s="2"/>
      <c r="C905" s="2"/>
      <c r="D905" s="2"/>
      <c r="E905" s="2"/>
      <c r="F905" s="2"/>
      <c r="G905" s="2"/>
      <c r="H905" s="2"/>
      <c r="I905" s="40"/>
      <c r="J905" s="39"/>
    </row>
    <row r="906" spans="1:10" s="28" customFormat="1" ht="21" x14ac:dyDescent="0.35">
      <c r="A906" s="1"/>
      <c r="B906" s="2"/>
      <c r="C906" s="2"/>
      <c r="D906" s="2"/>
      <c r="E906" s="2"/>
      <c r="F906" s="2"/>
      <c r="G906" s="2"/>
      <c r="H906" s="2"/>
      <c r="I906" s="40"/>
      <c r="J906" s="39"/>
    </row>
    <row r="907" spans="1:10" s="28" customFormat="1" ht="21" x14ac:dyDescent="0.35">
      <c r="A907" s="1"/>
      <c r="B907" s="2"/>
      <c r="C907" s="2"/>
      <c r="D907" s="2"/>
      <c r="E907" s="2"/>
      <c r="F907" s="2"/>
      <c r="G907" s="2"/>
      <c r="H907" s="2"/>
      <c r="I907" s="40"/>
      <c r="J907" s="39"/>
    </row>
    <row r="908" spans="1:10" s="28" customFormat="1" ht="21" x14ac:dyDescent="0.35">
      <c r="A908" s="1"/>
      <c r="B908" s="2"/>
      <c r="C908" s="2"/>
      <c r="D908" s="2"/>
      <c r="E908" s="2"/>
      <c r="F908" s="2"/>
      <c r="G908" s="2"/>
      <c r="H908" s="2"/>
      <c r="I908" s="40"/>
      <c r="J908" s="39"/>
    </row>
    <row r="909" spans="1:10" s="28" customFormat="1" ht="21" x14ac:dyDescent="0.35">
      <c r="A909" s="1"/>
      <c r="B909" s="2"/>
      <c r="C909" s="2"/>
      <c r="D909" s="2"/>
      <c r="E909" s="2"/>
      <c r="F909" s="2"/>
      <c r="G909" s="2"/>
      <c r="H909" s="2"/>
      <c r="I909" s="40"/>
      <c r="J909" s="39"/>
    </row>
    <row r="910" spans="1:10" s="28" customFormat="1" ht="21" x14ac:dyDescent="0.35">
      <c r="A910" s="1"/>
      <c r="B910" s="2"/>
      <c r="C910" s="2"/>
      <c r="D910" s="2"/>
      <c r="E910" s="2"/>
      <c r="F910" s="2"/>
      <c r="G910" s="2"/>
      <c r="H910" s="2"/>
      <c r="I910" s="40"/>
      <c r="J910" s="39"/>
    </row>
    <row r="911" spans="1:10" s="28" customFormat="1" ht="21" x14ac:dyDescent="0.35">
      <c r="A911" s="1"/>
      <c r="B911" s="2"/>
      <c r="C911" s="2"/>
      <c r="D911" s="2"/>
      <c r="E911" s="2"/>
      <c r="F911" s="2"/>
      <c r="G911" s="2"/>
      <c r="H911" s="2"/>
      <c r="I911" s="40"/>
      <c r="J911" s="39"/>
    </row>
    <row r="912" spans="1:10" s="28" customFormat="1" ht="21" x14ac:dyDescent="0.35">
      <c r="A912" s="1"/>
      <c r="B912" s="2"/>
      <c r="C912" s="2"/>
      <c r="D912" s="2"/>
      <c r="E912" s="2"/>
      <c r="F912" s="2"/>
      <c r="G912" s="2"/>
      <c r="H912" s="2"/>
      <c r="I912" s="40"/>
      <c r="J912" s="39"/>
    </row>
    <row r="913" spans="1:10" s="28" customFormat="1" ht="21" x14ac:dyDescent="0.35">
      <c r="A913" s="1"/>
      <c r="B913" s="2"/>
      <c r="C913" s="2"/>
      <c r="D913" s="2"/>
      <c r="E913" s="2"/>
      <c r="F913" s="2"/>
      <c r="G913" s="2"/>
      <c r="H913" s="2"/>
      <c r="I913" s="40"/>
      <c r="J913" s="39"/>
    </row>
    <row r="914" spans="1:10" s="28" customFormat="1" ht="21" x14ac:dyDescent="0.35">
      <c r="A914" s="1"/>
      <c r="B914" s="2"/>
      <c r="C914" s="2"/>
      <c r="D914" s="2"/>
      <c r="E914" s="2"/>
      <c r="F914" s="2"/>
      <c r="G914" s="2"/>
      <c r="H914" s="2"/>
      <c r="I914" s="40"/>
      <c r="J914" s="39"/>
    </row>
    <row r="915" spans="1:10" s="28" customFormat="1" ht="21" x14ac:dyDescent="0.35">
      <c r="A915" s="1"/>
      <c r="B915" s="2"/>
      <c r="C915" s="2"/>
      <c r="D915" s="2"/>
      <c r="E915" s="2"/>
      <c r="F915" s="2"/>
      <c r="G915" s="2"/>
      <c r="H915" s="2"/>
      <c r="I915" s="40"/>
      <c r="J915" s="39"/>
    </row>
    <row r="916" spans="1:10" s="28" customFormat="1" ht="21" x14ac:dyDescent="0.35">
      <c r="A916" s="1"/>
      <c r="B916" s="2"/>
      <c r="C916" s="2"/>
      <c r="D916" s="2"/>
      <c r="E916" s="2"/>
      <c r="F916" s="2"/>
      <c r="G916" s="2"/>
      <c r="H916" s="2"/>
      <c r="I916" s="40"/>
      <c r="J916" s="39"/>
    </row>
    <row r="917" spans="1:10" s="28" customFormat="1" ht="21" x14ac:dyDescent="0.35">
      <c r="A917" s="1"/>
      <c r="B917" s="2"/>
      <c r="C917" s="2"/>
      <c r="D917" s="2"/>
      <c r="E917" s="2"/>
      <c r="F917" s="2"/>
      <c r="G917" s="2"/>
      <c r="H917" s="2"/>
      <c r="I917" s="40"/>
      <c r="J917" s="39"/>
    </row>
    <row r="918" spans="1:10" s="28" customFormat="1" ht="21" x14ac:dyDescent="0.35">
      <c r="A918" s="1"/>
      <c r="B918" s="2"/>
      <c r="C918" s="2"/>
      <c r="D918" s="2"/>
      <c r="E918" s="2"/>
      <c r="F918" s="2"/>
      <c r="G918" s="2"/>
      <c r="H918" s="2"/>
      <c r="I918" s="40"/>
      <c r="J918" s="39"/>
    </row>
    <row r="919" spans="1:10" s="28" customFormat="1" ht="21" x14ac:dyDescent="0.35">
      <c r="A919" s="1"/>
      <c r="B919" s="2"/>
      <c r="C919" s="2"/>
      <c r="D919" s="2"/>
      <c r="E919" s="2"/>
      <c r="F919" s="2"/>
      <c r="G919" s="2"/>
      <c r="H919" s="2"/>
      <c r="I919" s="40"/>
      <c r="J919" s="39"/>
    </row>
    <row r="920" spans="1:10" s="28" customFormat="1" ht="21" x14ac:dyDescent="0.35">
      <c r="A920" s="1"/>
      <c r="B920" s="2"/>
      <c r="C920" s="2"/>
      <c r="D920" s="2"/>
      <c r="E920" s="2"/>
      <c r="F920" s="2"/>
      <c r="G920" s="2"/>
      <c r="H920" s="2"/>
      <c r="I920" s="40"/>
      <c r="J920" s="39"/>
    </row>
    <row r="921" spans="1:10" s="28" customFormat="1" ht="21" x14ac:dyDescent="0.35">
      <c r="A921" s="1"/>
      <c r="B921" s="2"/>
      <c r="C921" s="2"/>
      <c r="D921" s="2"/>
      <c r="E921" s="2"/>
      <c r="F921" s="2"/>
      <c r="G921" s="2"/>
      <c r="H921" s="2"/>
      <c r="I921" s="40"/>
      <c r="J921" s="39"/>
    </row>
    <row r="922" spans="1:10" s="28" customFormat="1" ht="21" x14ac:dyDescent="0.35">
      <c r="A922" s="1"/>
      <c r="B922" s="2"/>
      <c r="C922" s="2"/>
      <c r="D922" s="2"/>
      <c r="E922" s="2"/>
      <c r="F922" s="2"/>
      <c r="G922" s="2"/>
      <c r="H922" s="2"/>
      <c r="I922" s="40"/>
      <c r="J922" s="39"/>
    </row>
    <row r="923" spans="1:10" s="28" customFormat="1" ht="21" x14ac:dyDescent="0.35">
      <c r="A923" s="1"/>
      <c r="B923" s="2"/>
      <c r="C923" s="2"/>
      <c r="D923" s="2"/>
      <c r="E923" s="2"/>
      <c r="F923" s="2"/>
      <c r="G923" s="2"/>
      <c r="H923" s="2"/>
      <c r="I923" s="40"/>
      <c r="J923" s="39"/>
    </row>
    <row r="924" spans="1:10" s="28" customFormat="1" ht="21" x14ac:dyDescent="0.35">
      <c r="A924" s="1"/>
      <c r="B924" s="2"/>
      <c r="C924" s="2"/>
      <c r="D924" s="2"/>
      <c r="E924" s="2"/>
      <c r="F924" s="2"/>
      <c r="G924" s="2"/>
      <c r="H924" s="2"/>
      <c r="I924" s="40"/>
      <c r="J924" s="39"/>
    </row>
    <row r="925" spans="1:10" s="28" customFormat="1" ht="21" x14ac:dyDescent="0.35">
      <c r="A925" s="1"/>
      <c r="B925" s="2"/>
      <c r="C925" s="2"/>
      <c r="D925" s="2"/>
      <c r="E925" s="2"/>
      <c r="F925" s="2"/>
      <c r="G925" s="2"/>
      <c r="H925" s="2"/>
      <c r="I925" s="40"/>
      <c r="J925" s="39"/>
    </row>
    <row r="926" spans="1:10" s="28" customFormat="1" ht="21" x14ac:dyDescent="0.35">
      <c r="A926" s="1"/>
      <c r="B926" s="2"/>
      <c r="C926" s="2"/>
      <c r="D926" s="2"/>
      <c r="E926" s="2"/>
      <c r="F926" s="2"/>
      <c r="G926" s="2"/>
      <c r="H926" s="2"/>
      <c r="I926" s="40"/>
      <c r="J926" s="39"/>
    </row>
    <row r="927" spans="1:10" s="28" customFormat="1" ht="21" x14ac:dyDescent="0.35">
      <c r="A927" s="1"/>
      <c r="B927" s="2"/>
      <c r="C927" s="2"/>
      <c r="D927" s="2"/>
      <c r="E927" s="2"/>
      <c r="F927" s="2"/>
      <c r="G927" s="2"/>
      <c r="H927" s="2"/>
      <c r="I927" s="40"/>
      <c r="J927" s="39"/>
    </row>
    <row r="928" spans="1:10" s="28" customFormat="1" ht="21" x14ac:dyDescent="0.35">
      <c r="A928" s="1"/>
      <c r="B928" s="2"/>
      <c r="C928" s="2"/>
      <c r="D928" s="2"/>
      <c r="E928" s="2"/>
      <c r="F928" s="2"/>
      <c r="G928" s="2"/>
      <c r="H928" s="2"/>
      <c r="I928" s="40"/>
      <c r="J928" s="39"/>
    </row>
    <row r="929" spans="1:10" s="28" customFormat="1" ht="21" x14ac:dyDescent="0.35">
      <c r="A929" s="1"/>
      <c r="B929" s="2"/>
      <c r="C929" s="2"/>
      <c r="D929" s="2"/>
      <c r="E929" s="2"/>
      <c r="F929" s="2"/>
      <c r="G929" s="2"/>
      <c r="H929" s="2"/>
      <c r="I929" s="40"/>
      <c r="J929" s="39"/>
    </row>
    <row r="930" spans="1:10" s="28" customFormat="1" ht="21" x14ac:dyDescent="0.35">
      <c r="A930" s="1"/>
      <c r="B930" s="2"/>
      <c r="C930" s="2"/>
      <c r="D930" s="2"/>
      <c r="E930" s="2"/>
      <c r="F930" s="2"/>
      <c r="G930" s="2"/>
      <c r="H930" s="2"/>
      <c r="I930" s="40"/>
      <c r="J930" s="39"/>
    </row>
    <row r="931" spans="1:10" s="28" customFormat="1" ht="21" x14ac:dyDescent="0.35">
      <c r="A931" s="1"/>
      <c r="B931" s="2"/>
      <c r="C931" s="2"/>
      <c r="D931" s="2"/>
      <c r="E931" s="2"/>
      <c r="F931" s="2"/>
      <c r="G931" s="2"/>
      <c r="H931" s="2"/>
      <c r="I931" s="40"/>
      <c r="J931" s="39"/>
    </row>
    <row r="932" spans="1:10" s="28" customFormat="1" ht="21" x14ac:dyDescent="0.35">
      <c r="A932" s="1"/>
      <c r="B932" s="2"/>
      <c r="C932" s="2"/>
      <c r="D932" s="2"/>
      <c r="E932" s="2"/>
      <c r="F932" s="2"/>
      <c r="G932" s="2"/>
      <c r="H932" s="2"/>
      <c r="I932" s="40"/>
      <c r="J932" s="39"/>
    </row>
    <row r="933" spans="1:10" s="28" customFormat="1" ht="21" x14ac:dyDescent="0.35">
      <c r="A933" s="1"/>
      <c r="B933" s="2"/>
      <c r="C933" s="2"/>
      <c r="D933" s="2"/>
      <c r="E933" s="2"/>
      <c r="F933" s="2"/>
      <c r="G933" s="2"/>
      <c r="H933" s="2"/>
      <c r="I933" s="40"/>
      <c r="J933" s="39"/>
    </row>
    <row r="934" spans="1:10" s="28" customFormat="1" ht="21" x14ac:dyDescent="0.35">
      <c r="A934" s="1"/>
      <c r="B934" s="2"/>
      <c r="C934" s="2"/>
      <c r="D934" s="2"/>
      <c r="E934" s="2"/>
      <c r="F934" s="2"/>
      <c r="G934" s="2"/>
      <c r="H934" s="2"/>
      <c r="I934" s="40"/>
      <c r="J934" s="39"/>
    </row>
    <row r="935" spans="1:10" s="28" customFormat="1" ht="21" x14ac:dyDescent="0.35">
      <c r="A935" s="1"/>
      <c r="B935" s="2"/>
      <c r="C935" s="2"/>
      <c r="D935" s="2"/>
      <c r="E935" s="2"/>
      <c r="F935" s="2"/>
      <c r="G935" s="2"/>
      <c r="H935" s="2"/>
      <c r="I935" s="40"/>
      <c r="J935" s="39"/>
    </row>
    <row r="936" spans="1:10" s="28" customFormat="1" ht="21" x14ac:dyDescent="0.35">
      <c r="A936" s="1"/>
      <c r="B936" s="2"/>
      <c r="C936" s="2"/>
      <c r="D936" s="2"/>
      <c r="E936" s="2"/>
      <c r="F936" s="2"/>
      <c r="G936" s="2"/>
      <c r="H936" s="2"/>
      <c r="I936" s="40"/>
      <c r="J936" s="39"/>
    </row>
    <row r="937" spans="1:10" s="28" customFormat="1" ht="21" x14ac:dyDescent="0.35">
      <c r="A937" s="1"/>
      <c r="B937" s="2"/>
      <c r="C937" s="2"/>
      <c r="D937" s="2"/>
      <c r="E937" s="2"/>
      <c r="F937" s="2"/>
      <c r="G937" s="2"/>
      <c r="H937" s="2"/>
      <c r="I937" s="40"/>
      <c r="J937" s="39"/>
    </row>
    <row r="938" spans="1:10" s="28" customFormat="1" ht="21" x14ac:dyDescent="0.35">
      <c r="A938" s="1"/>
      <c r="B938" s="2"/>
      <c r="C938" s="2"/>
      <c r="D938" s="2"/>
      <c r="E938" s="2"/>
      <c r="F938" s="2"/>
      <c r="G938" s="2"/>
      <c r="H938" s="2"/>
      <c r="I938" s="40"/>
      <c r="J938" s="39"/>
    </row>
    <row r="939" spans="1:10" s="28" customFormat="1" ht="21" x14ac:dyDescent="0.35">
      <c r="A939" s="1"/>
      <c r="B939" s="2"/>
      <c r="C939" s="2"/>
      <c r="D939" s="2"/>
      <c r="E939" s="2"/>
      <c r="F939" s="2"/>
      <c r="G939" s="2"/>
      <c r="H939" s="2"/>
      <c r="I939" s="40"/>
      <c r="J939" s="39"/>
    </row>
    <row r="940" spans="1:10" s="28" customFormat="1" ht="21" x14ac:dyDescent="0.35">
      <c r="A940" s="1"/>
      <c r="B940" s="2"/>
      <c r="C940" s="2"/>
      <c r="D940" s="2"/>
      <c r="E940" s="2"/>
      <c r="F940" s="2"/>
      <c r="G940" s="2"/>
      <c r="H940" s="2"/>
      <c r="I940" s="40"/>
      <c r="J940" s="39"/>
    </row>
    <row r="941" spans="1:10" s="28" customFormat="1" ht="21" x14ac:dyDescent="0.35">
      <c r="A941" s="1"/>
      <c r="B941" s="2"/>
      <c r="C941" s="2"/>
      <c r="D941" s="2"/>
      <c r="E941" s="2"/>
      <c r="F941" s="2"/>
      <c r="G941" s="2"/>
      <c r="H941" s="2"/>
      <c r="I941" s="40"/>
      <c r="J941" s="39"/>
    </row>
    <row r="942" spans="1:10" s="28" customFormat="1" ht="21" x14ac:dyDescent="0.35">
      <c r="A942" s="1"/>
      <c r="B942" s="2"/>
      <c r="C942" s="2"/>
      <c r="D942" s="2"/>
      <c r="E942" s="2"/>
      <c r="F942" s="2"/>
      <c r="G942" s="2"/>
      <c r="H942" s="2"/>
      <c r="I942" s="40"/>
      <c r="J942" s="39"/>
    </row>
    <row r="943" spans="1:10" s="28" customFormat="1" ht="21" x14ac:dyDescent="0.35">
      <c r="A943" s="1"/>
      <c r="B943" s="2"/>
      <c r="C943" s="2"/>
      <c r="D943" s="2"/>
      <c r="E943" s="2"/>
      <c r="F943" s="2"/>
      <c r="G943" s="2"/>
      <c r="H943" s="2"/>
      <c r="I943" s="40"/>
      <c r="J943" s="39"/>
    </row>
    <row r="944" spans="1:10" s="28" customFormat="1" ht="21" x14ac:dyDescent="0.35">
      <c r="A944" s="1"/>
      <c r="B944" s="2"/>
      <c r="C944" s="2"/>
      <c r="D944" s="2"/>
      <c r="E944" s="2"/>
      <c r="F944" s="2"/>
      <c r="G944" s="2"/>
      <c r="H944" s="2"/>
      <c r="I944" s="40"/>
      <c r="J944" s="39"/>
    </row>
    <row r="945" spans="1:10" s="28" customFormat="1" ht="21" x14ac:dyDescent="0.35">
      <c r="A945" s="1"/>
      <c r="B945" s="2"/>
      <c r="C945" s="2"/>
      <c r="D945" s="2"/>
      <c r="E945" s="2"/>
      <c r="F945" s="2"/>
      <c r="G945" s="2"/>
      <c r="H945" s="2"/>
      <c r="I945" s="40"/>
      <c r="J945" s="39"/>
    </row>
    <row r="946" spans="1:10" s="28" customFormat="1" ht="21" x14ac:dyDescent="0.35">
      <c r="A946" s="1"/>
      <c r="B946" s="2"/>
      <c r="C946" s="2"/>
      <c r="D946" s="2"/>
      <c r="E946" s="2"/>
      <c r="F946" s="2"/>
      <c r="G946" s="2"/>
      <c r="H946" s="2"/>
      <c r="I946" s="40"/>
      <c r="J946" s="39"/>
    </row>
    <row r="947" spans="1:10" s="28" customFormat="1" ht="21" x14ac:dyDescent="0.35">
      <c r="A947" s="1"/>
      <c r="B947" s="2"/>
      <c r="C947" s="2"/>
      <c r="D947" s="2"/>
      <c r="E947" s="2"/>
      <c r="F947" s="2"/>
      <c r="G947" s="2"/>
      <c r="H947" s="2"/>
      <c r="I947" s="40"/>
      <c r="J947" s="39"/>
    </row>
    <row r="948" spans="1:10" s="28" customFormat="1" ht="21" x14ac:dyDescent="0.35">
      <c r="A948" s="1"/>
      <c r="B948" s="2"/>
      <c r="C948" s="2"/>
      <c r="D948" s="2"/>
      <c r="E948" s="2"/>
      <c r="F948" s="2"/>
      <c r="G948" s="2"/>
      <c r="H948" s="2"/>
      <c r="I948" s="40"/>
      <c r="J948" s="39"/>
    </row>
    <row r="949" spans="1:10" s="28" customFormat="1" ht="21" x14ac:dyDescent="0.35">
      <c r="A949" s="1"/>
      <c r="B949" s="2"/>
      <c r="C949" s="2"/>
      <c r="D949" s="2"/>
      <c r="E949" s="2"/>
      <c r="F949" s="2"/>
      <c r="G949" s="2"/>
      <c r="H949" s="2"/>
      <c r="I949" s="40"/>
      <c r="J949" s="39"/>
    </row>
    <row r="950" spans="1:10" s="28" customFormat="1" ht="21" x14ac:dyDescent="0.35">
      <c r="A950" s="1"/>
      <c r="B950" s="2"/>
      <c r="C950" s="2"/>
      <c r="D950" s="2"/>
      <c r="E950" s="2"/>
      <c r="F950" s="2"/>
      <c r="G950" s="2"/>
      <c r="H950" s="2"/>
      <c r="I950" s="40"/>
      <c r="J950" s="39"/>
    </row>
    <row r="951" spans="1:10" s="28" customFormat="1" ht="21" x14ac:dyDescent="0.35">
      <c r="A951" s="1"/>
      <c r="B951" s="2"/>
      <c r="C951" s="2"/>
      <c r="D951" s="2"/>
      <c r="E951" s="2"/>
      <c r="F951" s="2"/>
      <c r="G951" s="2"/>
      <c r="H951" s="2"/>
      <c r="I951" s="40"/>
      <c r="J951" s="39"/>
    </row>
    <row r="952" spans="1:10" s="28" customFormat="1" ht="21" x14ac:dyDescent="0.35">
      <c r="A952" s="1"/>
      <c r="B952" s="2"/>
      <c r="C952" s="2"/>
      <c r="D952" s="2"/>
      <c r="E952" s="2"/>
      <c r="F952" s="2"/>
      <c r="G952" s="2"/>
      <c r="H952" s="2"/>
      <c r="I952" s="40"/>
      <c r="J952" s="39"/>
    </row>
    <row r="953" spans="1:10" s="28" customFormat="1" ht="21" x14ac:dyDescent="0.35">
      <c r="A953" s="1"/>
      <c r="B953" s="2"/>
      <c r="C953" s="2"/>
      <c r="D953" s="2"/>
      <c r="E953" s="2"/>
      <c r="F953" s="2"/>
      <c r="G953" s="2"/>
      <c r="H953" s="2"/>
      <c r="I953" s="40"/>
      <c r="J953" s="39"/>
    </row>
    <row r="954" spans="1:10" s="28" customFormat="1" ht="21" x14ac:dyDescent="0.35">
      <c r="A954" s="1"/>
      <c r="B954" s="2"/>
      <c r="C954" s="2"/>
      <c r="D954" s="2"/>
      <c r="E954" s="2"/>
      <c r="F954" s="2"/>
      <c r="G954" s="2"/>
      <c r="H954" s="2"/>
      <c r="I954" s="40"/>
      <c r="J954" s="39"/>
    </row>
    <row r="955" spans="1:10" s="28" customFormat="1" ht="21" x14ac:dyDescent="0.35">
      <c r="A955" s="1"/>
      <c r="B955" s="2"/>
      <c r="C955" s="2"/>
      <c r="D955" s="2"/>
      <c r="E955" s="2"/>
      <c r="F955" s="2"/>
      <c r="G955" s="2"/>
      <c r="H955" s="2"/>
      <c r="I955" s="40"/>
      <c r="J955" s="39"/>
    </row>
    <row r="956" spans="1:10" s="28" customFormat="1" ht="21" x14ac:dyDescent="0.35">
      <c r="A956" s="1"/>
      <c r="B956" s="2"/>
      <c r="C956" s="2"/>
      <c r="D956" s="2"/>
      <c r="E956" s="2"/>
      <c r="F956" s="2"/>
      <c r="G956" s="2"/>
      <c r="H956" s="2"/>
      <c r="I956" s="40"/>
      <c r="J956" s="39"/>
    </row>
    <row r="957" spans="1:10" s="28" customFormat="1" ht="21" x14ac:dyDescent="0.35">
      <c r="A957" s="1"/>
      <c r="B957" s="2"/>
      <c r="C957" s="2"/>
      <c r="D957" s="2"/>
      <c r="E957" s="2"/>
      <c r="F957" s="2"/>
      <c r="G957" s="2"/>
      <c r="H957" s="2"/>
      <c r="I957" s="40"/>
      <c r="J957" s="39"/>
    </row>
    <row r="958" spans="1:10" s="28" customFormat="1" ht="21" x14ac:dyDescent="0.35">
      <c r="A958" s="1"/>
      <c r="B958" s="2"/>
      <c r="C958" s="2"/>
      <c r="D958" s="2"/>
      <c r="E958" s="2"/>
      <c r="F958" s="2"/>
      <c r="G958" s="2"/>
      <c r="H958" s="2"/>
      <c r="I958" s="40"/>
      <c r="J958" s="39"/>
    </row>
    <row r="959" spans="1:10" s="28" customFormat="1" ht="21" x14ac:dyDescent="0.35">
      <c r="A959" s="1"/>
      <c r="B959" s="2"/>
      <c r="C959" s="2"/>
      <c r="D959" s="2"/>
      <c r="E959" s="2"/>
      <c r="F959" s="2"/>
      <c r="G959" s="2"/>
      <c r="H959" s="2"/>
      <c r="I959" s="40"/>
      <c r="J959" s="39"/>
    </row>
    <row r="960" spans="1:10" s="28" customFormat="1" ht="21" x14ac:dyDescent="0.35">
      <c r="A960" s="1"/>
      <c r="B960" s="2"/>
      <c r="C960" s="2"/>
      <c r="D960" s="2"/>
      <c r="E960" s="2"/>
      <c r="F960" s="2"/>
      <c r="G960" s="2"/>
      <c r="H960" s="2"/>
      <c r="I960" s="40"/>
      <c r="J960" s="39"/>
    </row>
    <row r="961" spans="1:10" s="28" customFormat="1" ht="21" x14ac:dyDescent="0.35">
      <c r="A961" s="1"/>
      <c r="B961" s="2"/>
      <c r="C961" s="2"/>
      <c r="D961" s="2"/>
      <c r="E961" s="2"/>
      <c r="F961" s="2"/>
      <c r="G961" s="2"/>
      <c r="H961" s="2"/>
      <c r="I961" s="40"/>
      <c r="J961" s="39"/>
    </row>
    <row r="962" spans="1:10" s="28" customFormat="1" ht="21" x14ac:dyDescent="0.35">
      <c r="A962" s="1"/>
      <c r="B962" s="2"/>
      <c r="C962" s="2"/>
      <c r="D962" s="2"/>
      <c r="E962" s="2"/>
      <c r="F962" s="2"/>
      <c r="G962" s="2"/>
      <c r="H962" s="2"/>
      <c r="I962" s="40"/>
      <c r="J962" s="39"/>
    </row>
    <row r="963" spans="1:10" s="28" customFormat="1" ht="21" x14ac:dyDescent="0.35">
      <c r="A963" s="1"/>
      <c r="B963" s="2"/>
      <c r="C963" s="2"/>
      <c r="D963" s="2"/>
      <c r="E963" s="2"/>
      <c r="F963" s="2"/>
      <c r="G963" s="2"/>
      <c r="H963" s="2"/>
      <c r="I963" s="40"/>
      <c r="J963" s="39"/>
    </row>
    <row r="964" spans="1:10" s="28" customFormat="1" ht="21" x14ac:dyDescent="0.35">
      <c r="A964" s="1"/>
      <c r="B964" s="2"/>
      <c r="C964" s="2"/>
      <c r="D964" s="2"/>
      <c r="E964" s="2"/>
      <c r="F964" s="2"/>
      <c r="G964" s="2"/>
      <c r="H964" s="2"/>
      <c r="I964" s="40"/>
      <c r="J964" s="39"/>
    </row>
    <row r="965" spans="1:10" s="28" customFormat="1" ht="21" x14ac:dyDescent="0.35">
      <c r="A965" s="1"/>
      <c r="B965" s="2"/>
      <c r="C965" s="2"/>
      <c r="D965" s="2"/>
      <c r="E965" s="2"/>
      <c r="F965" s="2"/>
      <c r="G965" s="2"/>
      <c r="H965" s="2"/>
      <c r="I965" s="40"/>
      <c r="J965" s="39"/>
    </row>
    <row r="966" spans="1:10" s="28" customFormat="1" ht="21" x14ac:dyDescent="0.35">
      <c r="A966" s="1"/>
      <c r="B966" s="2"/>
      <c r="C966" s="2"/>
      <c r="D966" s="2"/>
      <c r="E966" s="2"/>
      <c r="F966" s="2"/>
      <c r="G966" s="2"/>
      <c r="H966" s="2"/>
      <c r="I966" s="40"/>
      <c r="J966" s="39"/>
    </row>
    <row r="967" spans="1:10" s="28" customFormat="1" ht="21" x14ac:dyDescent="0.35">
      <c r="A967" s="1"/>
      <c r="B967" s="2"/>
      <c r="C967" s="2"/>
      <c r="D967" s="2"/>
      <c r="E967" s="2"/>
      <c r="F967" s="2"/>
      <c r="G967" s="2"/>
      <c r="H967" s="2"/>
      <c r="I967" s="40"/>
      <c r="J967" s="39"/>
    </row>
    <row r="968" spans="1:10" s="28" customFormat="1" ht="21" x14ac:dyDescent="0.35">
      <c r="A968" s="1"/>
      <c r="B968" s="2"/>
      <c r="C968" s="2"/>
      <c r="D968" s="2"/>
      <c r="E968" s="2"/>
      <c r="F968" s="2"/>
      <c r="G968" s="2"/>
      <c r="H968" s="2"/>
      <c r="I968" s="40"/>
      <c r="J968" s="39"/>
    </row>
    <row r="969" spans="1:10" s="28" customFormat="1" ht="21" x14ac:dyDescent="0.35">
      <c r="A969" s="1"/>
      <c r="B969" s="2"/>
      <c r="C969" s="2"/>
      <c r="D969" s="2"/>
      <c r="E969" s="2"/>
      <c r="F969" s="2"/>
      <c r="G969" s="2"/>
      <c r="H969" s="2"/>
      <c r="I969" s="40"/>
      <c r="J969" s="39"/>
    </row>
    <row r="970" spans="1:10" s="28" customFormat="1" ht="21" x14ac:dyDescent="0.35">
      <c r="A970" s="1"/>
      <c r="B970" s="2"/>
      <c r="C970" s="2"/>
      <c r="D970" s="2"/>
      <c r="E970" s="2"/>
      <c r="F970" s="2"/>
      <c r="G970" s="2"/>
      <c r="H970" s="2"/>
      <c r="I970" s="40"/>
      <c r="J970" s="39"/>
    </row>
    <row r="971" spans="1:10" s="28" customFormat="1" ht="21" x14ac:dyDescent="0.35">
      <c r="A971" s="1"/>
      <c r="B971" s="2"/>
      <c r="C971" s="2"/>
      <c r="D971" s="2"/>
      <c r="E971" s="2"/>
      <c r="F971" s="2"/>
      <c r="G971" s="2"/>
      <c r="H971" s="2"/>
      <c r="I971" s="40"/>
      <c r="J971" s="39"/>
    </row>
    <row r="972" spans="1:10" s="28" customFormat="1" ht="21" x14ac:dyDescent="0.35">
      <c r="A972" s="1"/>
      <c r="B972" s="2"/>
      <c r="C972" s="2"/>
      <c r="D972" s="2"/>
      <c r="E972" s="2"/>
      <c r="F972" s="2"/>
      <c r="G972" s="2"/>
      <c r="H972" s="2"/>
      <c r="I972" s="40"/>
      <c r="J972" s="39"/>
    </row>
    <row r="973" spans="1:10" s="28" customFormat="1" ht="21" x14ac:dyDescent="0.35">
      <c r="A973" s="1"/>
      <c r="B973" s="2"/>
      <c r="C973" s="2"/>
      <c r="D973" s="2"/>
      <c r="E973" s="2"/>
      <c r="F973" s="2"/>
      <c r="G973" s="2"/>
      <c r="H973" s="2"/>
      <c r="I973" s="40"/>
      <c r="J973" s="39"/>
    </row>
    <row r="974" spans="1:10" s="28" customFormat="1" ht="21" x14ac:dyDescent="0.35">
      <c r="A974" s="1"/>
      <c r="B974" s="2"/>
      <c r="C974" s="2"/>
      <c r="D974" s="2"/>
      <c r="E974" s="2"/>
      <c r="F974" s="2"/>
      <c r="G974" s="2"/>
      <c r="H974" s="2"/>
      <c r="I974" s="40"/>
      <c r="J974" s="39"/>
    </row>
    <row r="975" spans="1:10" s="28" customFormat="1" ht="21" x14ac:dyDescent="0.35">
      <c r="A975" s="1"/>
      <c r="B975" s="2"/>
      <c r="C975" s="2"/>
      <c r="D975" s="2"/>
      <c r="E975" s="2"/>
      <c r="F975" s="2"/>
      <c r="G975" s="2"/>
      <c r="H975" s="2"/>
      <c r="I975" s="40"/>
      <c r="J975" s="39"/>
    </row>
    <row r="976" spans="1:10" s="28" customFormat="1" ht="21" x14ac:dyDescent="0.35">
      <c r="A976" s="1"/>
      <c r="B976" s="2"/>
      <c r="C976" s="2"/>
      <c r="D976" s="2"/>
      <c r="E976" s="2"/>
      <c r="F976" s="2"/>
      <c r="G976" s="2"/>
      <c r="H976" s="2"/>
      <c r="I976" s="40"/>
      <c r="J976" s="39"/>
    </row>
    <row r="977" spans="1:10" s="28" customFormat="1" ht="21" x14ac:dyDescent="0.35">
      <c r="A977" s="1"/>
      <c r="B977" s="2"/>
      <c r="C977" s="2"/>
      <c r="D977" s="2"/>
      <c r="E977" s="2"/>
      <c r="F977" s="2"/>
      <c r="G977" s="2"/>
      <c r="H977" s="2"/>
      <c r="I977" s="40"/>
      <c r="J977" s="39"/>
    </row>
    <row r="978" spans="1:10" s="28" customFormat="1" ht="21" x14ac:dyDescent="0.35">
      <c r="A978" s="1"/>
      <c r="B978" s="2"/>
      <c r="C978" s="2"/>
      <c r="D978" s="2"/>
      <c r="E978" s="2"/>
      <c r="F978" s="2"/>
      <c r="G978" s="2"/>
      <c r="H978" s="2"/>
      <c r="I978" s="40"/>
      <c r="J978" s="39"/>
    </row>
    <row r="979" spans="1:10" s="28" customFormat="1" ht="21" x14ac:dyDescent="0.35">
      <c r="A979" s="1"/>
      <c r="B979" s="2"/>
      <c r="C979" s="2"/>
      <c r="D979" s="2"/>
      <c r="E979" s="2"/>
      <c r="F979" s="2"/>
      <c r="G979" s="2"/>
      <c r="H979" s="2"/>
      <c r="I979" s="40"/>
      <c r="J979" s="39"/>
    </row>
    <row r="980" spans="1:10" s="28" customFormat="1" ht="21" x14ac:dyDescent="0.35">
      <c r="A980" s="1"/>
      <c r="B980" s="2"/>
      <c r="C980" s="2"/>
      <c r="D980" s="2"/>
      <c r="E980" s="2"/>
      <c r="F980" s="2"/>
      <c r="G980" s="2"/>
      <c r="H980" s="2"/>
      <c r="I980" s="40"/>
      <c r="J980" s="39"/>
    </row>
    <row r="981" spans="1:10" s="28" customFormat="1" ht="21" x14ac:dyDescent="0.35">
      <c r="A981" s="1"/>
      <c r="B981" s="2"/>
      <c r="C981" s="2"/>
      <c r="D981" s="2"/>
      <c r="E981" s="2"/>
      <c r="F981" s="2"/>
      <c r="G981" s="2"/>
      <c r="H981" s="2"/>
      <c r="I981" s="40"/>
      <c r="J981" s="39"/>
    </row>
    <row r="982" spans="1:10" s="28" customFormat="1" ht="21" x14ac:dyDescent="0.35">
      <c r="A982" s="1"/>
      <c r="B982" s="2"/>
      <c r="C982" s="2"/>
      <c r="D982" s="2"/>
      <c r="E982" s="2"/>
      <c r="F982" s="2"/>
      <c r="G982" s="2"/>
      <c r="H982" s="2"/>
      <c r="I982" s="40"/>
      <c r="J982" s="39"/>
    </row>
    <row r="983" spans="1:10" s="28" customFormat="1" ht="21" x14ac:dyDescent="0.35">
      <c r="A983" s="1"/>
      <c r="B983" s="2"/>
      <c r="C983" s="2"/>
      <c r="D983" s="2"/>
      <c r="E983" s="2"/>
      <c r="F983" s="2"/>
      <c r="G983" s="2"/>
      <c r="H983" s="2"/>
      <c r="I983" s="40"/>
      <c r="J983" s="39"/>
    </row>
    <row r="984" spans="1:10" s="28" customFormat="1" ht="21" x14ac:dyDescent="0.35">
      <c r="A984" s="1"/>
      <c r="B984" s="2"/>
      <c r="C984" s="2"/>
      <c r="D984" s="2"/>
      <c r="E984" s="2"/>
      <c r="F984" s="2"/>
      <c r="G984" s="2"/>
      <c r="H984" s="2"/>
      <c r="I984" s="40"/>
      <c r="J984" s="39"/>
    </row>
    <row r="985" spans="1:10" s="28" customFormat="1" ht="21" x14ac:dyDescent="0.35">
      <c r="A985" s="1"/>
      <c r="B985" s="2"/>
      <c r="C985" s="2"/>
      <c r="D985" s="2"/>
      <c r="E985" s="2"/>
      <c r="F985" s="2"/>
      <c r="G985" s="2"/>
      <c r="H985" s="2"/>
      <c r="I985" s="40"/>
      <c r="J985" s="39"/>
    </row>
    <row r="986" spans="1:10" s="28" customFormat="1" ht="21" x14ac:dyDescent="0.35">
      <c r="A986" s="1"/>
      <c r="B986" s="2"/>
      <c r="C986" s="2"/>
      <c r="D986" s="2"/>
      <c r="E986" s="2"/>
      <c r="F986" s="2"/>
      <c r="G986" s="2"/>
      <c r="H986" s="2"/>
      <c r="I986" s="40"/>
      <c r="J986" s="39"/>
    </row>
    <row r="987" spans="1:10" s="28" customFormat="1" ht="21" x14ac:dyDescent="0.35">
      <c r="A987" s="1"/>
      <c r="B987" s="2"/>
      <c r="C987" s="2"/>
      <c r="D987" s="2"/>
      <c r="E987" s="2"/>
      <c r="F987" s="2"/>
      <c r="G987" s="2"/>
      <c r="H987" s="2"/>
      <c r="I987" s="40"/>
      <c r="J987" s="39"/>
    </row>
    <row r="988" spans="1:10" s="28" customFormat="1" ht="21" x14ac:dyDescent="0.35">
      <c r="A988" s="1"/>
      <c r="B988" s="2"/>
      <c r="C988" s="2"/>
      <c r="D988" s="2"/>
      <c r="E988" s="2"/>
      <c r="F988" s="2"/>
      <c r="G988" s="2"/>
      <c r="H988" s="2"/>
      <c r="I988" s="40"/>
      <c r="J988" s="39"/>
    </row>
    <row r="989" spans="1:10" s="28" customFormat="1" ht="21" x14ac:dyDescent="0.35">
      <c r="A989" s="1"/>
      <c r="B989" s="2"/>
      <c r="C989" s="2"/>
      <c r="D989" s="2"/>
      <c r="E989" s="2"/>
      <c r="F989" s="2"/>
      <c r="G989" s="2"/>
      <c r="H989" s="2"/>
      <c r="I989" s="40"/>
      <c r="J989" s="39"/>
    </row>
    <row r="990" spans="1:10" s="28" customFormat="1" ht="21" x14ac:dyDescent="0.35">
      <c r="A990" s="1"/>
      <c r="B990" s="2"/>
      <c r="C990" s="2"/>
      <c r="D990" s="2"/>
      <c r="E990" s="2"/>
      <c r="F990" s="2"/>
      <c r="G990" s="2"/>
      <c r="H990" s="2"/>
      <c r="I990" s="40"/>
      <c r="J990" s="39"/>
    </row>
    <row r="991" spans="1:10" s="28" customFormat="1" ht="21" x14ac:dyDescent="0.35">
      <c r="A991" s="1"/>
      <c r="B991" s="2"/>
      <c r="C991" s="2"/>
      <c r="D991" s="2"/>
      <c r="E991" s="2"/>
      <c r="F991" s="2"/>
      <c r="G991" s="2"/>
      <c r="H991" s="2"/>
      <c r="I991" s="40"/>
      <c r="J991" s="39"/>
    </row>
    <row r="992" spans="1:10" s="28" customFormat="1" ht="21" x14ac:dyDescent="0.35">
      <c r="A992" s="1"/>
      <c r="B992" s="2"/>
      <c r="C992" s="2"/>
      <c r="D992" s="2"/>
      <c r="E992" s="2"/>
      <c r="F992" s="2"/>
      <c r="G992" s="2"/>
      <c r="H992" s="2"/>
      <c r="I992" s="40"/>
      <c r="J992" s="39"/>
    </row>
    <row r="993" spans="1:10" s="28" customFormat="1" ht="21" x14ac:dyDescent="0.35">
      <c r="A993" s="1"/>
      <c r="B993" s="2"/>
      <c r="C993" s="2"/>
      <c r="D993" s="2"/>
      <c r="E993" s="2"/>
      <c r="F993" s="2"/>
      <c r="G993" s="2"/>
      <c r="H993" s="2"/>
      <c r="I993" s="40"/>
      <c r="J993" s="39"/>
    </row>
    <row r="994" spans="1:10" s="28" customFormat="1" ht="21" x14ac:dyDescent="0.35">
      <c r="A994" s="1"/>
      <c r="B994" s="2"/>
      <c r="C994" s="2"/>
      <c r="D994" s="2"/>
      <c r="E994" s="2"/>
      <c r="F994" s="2"/>
      <c r="G994" s="2"/>
      <c r="H994" s="2"/>
      <c r="I994" s="40"/>
      <c r="J994" s="39"/>
    </row>
    <row r="995" spans="1:10" s="28" customFormat="1" ht="21" x14ac:dyDescent="0.35">
      <c r="A995" s="1"/>
      <c r="B995" s="2"/>
      <c r="C995" s="2"/>
      <c r="D995" s="2"/>
      <c r="E995" s="2"/>
      <c r="F995" s="2"/>
      <c r="G995" s="2"/>
      <c r="H995" s="2"/>
      <c r="I995" s="40"/>
      <c r="J995" s="39"/>
    </row>
    <row r="996" spans="1:10" s="28" customFormat="1" ht="21" x14ac:dyDescent="0.35">
      <c r="A996" s="1"/>
      <c r="B996" s="2"/>
      <c r="C996" s="2"/>
      <c r="D996" s="2"/>
      <c r="E996" s="2"/>
      <c r="F996" s="2"/>
      <c r="G996" s="2"/>
      <c r="H996" s="2"/>
      <c r="I996" s="40"/>
      <c r="J996" s="39"/>
    </row>
    <row r="997" spans="1:10" s="28" customFormat="1" ht="21" x14ac:dyDescent="0.35">
      <c r="A997" s="1"/>
      <c r="B997" s="2"/>
      <c r="C997" s="2"/>
      <c r="D997" s="2"/>
      <c r="E997" s="2"/>
      <c r="F997" s="2"/>
      <c r="G997" s="2"/>
      <c r="H997" s="2"/>
      <c r="I997" s="40"/>
      <c r="J997" s="39"/>
    </row>
    <row r="998" spans="1:10" s="28" customFormat="1" ht="21" x14ac:dyDescent="0.35">
      <c r="A998" s="1"/>
      <c r="B998" s="2"/>
      <c r="C998" s="2"/>
      <c r="D998" s="2"/>
      <c r="E998" s="2"/>
      <c r="F998" s="2"/>
      <c r="G998" s="2"/>
      <c r="H998" s="2"/>
      <c r="I998" s="40"/>
      <c r="J998" s="39"/>
    </row>
    <row r="999" spans="1:10" s="28" customFormat="1" ht="21" x14ac:dyDescent="0.35">
      <c r="A999" s="1"/>
      <c r="B999" s="2"/>
      <c r="C999" s="2"/>
      <c r="D999" s="2"/>
      <c r="E999" s="2"/>
      <c r="F999" s="2"/>
      <c r="G999" s="2"/>
      <c r="H999" s="2"/>
      <c r="I999" s="40"/>
      <c r="J999" s="39"/>
    </row>
    <row r="1000" spans="1:10" s="28" customFormat="1" ht="21" x14ac:dyDescent="0.35">
      <c r="A1000" s="1"/>
      <c r="B1000" s="2"/>
      <c r="C1000" s="2"/>
      <c r="D1000" s="2"/>
      <c r="E1000" s="2"/>
      <c r="F1000" s="2"/>
      <c r="G1000" s="2"/>
      <c r="H1000" s="2"/>
      <c r="I1000" s="40"/>
      <c r="J1000" s="39"/>
    </row>
    <row r="1001" spans="1:10" s="28" customFormat="1" ht="21" x14ac:dyDescent="0.35">
      <c r="A1001" s="1"/>
      <c r="B1001" s="2"/>
      <c r="C1001" s="2"/>
      <c r="D1001" s="2"/>
      <c r="E1001" s="2"/>
      <c r="F1001" s="2"/>
      <c r="G1001" s="2"/>
      <c r="H1001" s="2"/>
      <c r="I1001" s="40"/>
      <c r="J1001" s="39"/>
    </row>
    <row r="1002" spans="1:10" s="28" customFormat="1" ht="21" x14ac:dyDescent="0.35">
      <c r="A1002" s="1"/>
      <c r="B1002" s="2"/>
      <c r="C1002" s="2"/>
      <c r="D1002" s="2"/>
      <c r="E1002" s="2"/>
      <c r="F1002" s="2"/>
      <c r="G1002" s="2"/>
      <c r="H1002" s="2"/>
      <c r="I1002" s="40"/>
      <c r="J1002" s="39"/>
    </row>
    <row r="1003" spans="1:10" s="28" customFormat="1" ht="21" x14ac:dyDescent="0.35">
      <c r="A1003" s="1"/>
      <c r="B1003" s="2"/>
      <c r="C1003" s="2"/>
      <c r="D1003" s="2"/>
      <c r="E1003" s="2"/>
      <c r="F1003" s="2"/>
      <c r="G1003" s="2"/>
      <c r="H1003" s="2"/>
      <c r="I1003" s="40"/>
      <c r="J1003" s="39"/>
    </row>
    <row r="1004" spans="1:10" s="28" customFormat="1" ht="21" x14ac:dyDescent="0.35">
      <c r="A1004" s="1"/>
      <c r="B1004" s="2"/>
      <c r="C1004" s="2"/>
      <c r="D1004" s="2"/>
      <c r="E1004" s="2"/>
      <c r="F1004" s="2"/>
      <c r="G1004" s="2"/>
      <c r="H1004" s="2"/>
      <c r="I1004" s="40"/>
      <c r="J1004" s="39"/>
    </row>
    <row r="1005" spans="1:10" s="28" customFormat="1" ht="21" x14ac:dyDescent="0.35">
      <c r="A1005" s="1"/>
      <c r="B1005" s="2"/>
      <c r="C1005" s="2"/>
      <c r="D1005" s="2"/>
      <c r="E1005" s="2"/>
      <c r="F1005" s="2"/>
      <c r="G1005" s="2"/>
      <c r="H1005" s="2"/>
      <c r="I1005" s="40"/>
      <c r="J1005" s="39"/>
    </row>
    <row r="1006" spans="1:10" s="28" customFormat="1" ht="21" x14ac:dyDescent="0.35">
      <c r="A1006" s="1"/>
      <c r="B1006" s="2"/>
      <c r="C1006" s="2"/>
      <c r="D1006" s="2"/>
      <c r="E1006" s="2"/>
      <c r="F1006" s="2"/>
      <c r="G1006" s="2"/>
      <c r="H1006" s="2"/>
      <c r="I1006" s="40"/>
      <c r="J1006" s="39"/>
    </row>
    <row r="1007" spans="1:10" s="28" customFormat="1" ht="21" x14ac:dyDescent="0.35">
      <c r="A1007" s="1"/>
      <c r="B1007" s="2"/>
      <c r="C1007" s="2"/>
      <c r="D1007" s="2"/>
      <c r="E1007" s="2"/>
      <c r="F1007" s="2"/>
      <c r="G1007" s="2"/>
      <c r="H1007" s="2"/>
      <c r="I1007" s="40"/>
      <c r="J1007" s="39"/>
    </row>
    <row r="1008" spans="1:10" s="28" customFormat="1" ht="21" x14ac:dyDescent="0.35">
      <c r="A1008" s="1"/>
      <c r="B1008" s="2"/>
      <c r="C1008" s="2"/>
      <c r="D1008" s="2"/>
      <c r="E1008" s="2"/>
      <c r="F1008" s="2"/>
      <c r="G1008" s="2"/>
      <c r="H1008" s="2"/>
      <c r="I1008" s="40"/>
      <c r="J1008" s="39"/>
    </row>
    <row r="1009" spans="1:10" s="28" customFormat="1" ht="21" x14ac:dyDescent="0.35">
      <c r="A1009" s="1"/>
      <c r="B1009" s="2"/>
      <c r="C1009" s="2"/>
      <c r="D1009" s="2"/>
      <c r="E1009" s="2"/>
      <c r="F1009" s="2"/>
      <c r="G1009" s="2"/>
      <c r="H1009" s="2"/>
      <c r="I1009" s="40"/>
      <c r="J1009" s="39"/>
    </row>
    <row r="1010" spans="1:10" s="28" customFormat="1" ht="21" x14ac:dyDescent="0.35">
      <c r="A1010" s="1"/>
      <c r="B1010" s="2"/>
      <c r="C1010" s="2"/>
      <c r="D1010" s="2"/>
      <c r="E1010" s="2"/>
      <c r="F1010" s="2"/>
      <c r="G1010" s="2"/>
      <c r="H1010" s="2"/>
      <c r="I1010" s="40"/>
      <c r="J1010" s="39"/>
    </row>
    <row r="1011" spans="1:10" s="28" customFormat="1" ht="21" x14ac:dyDescent="0.35">
      <c r="A1011" s="1"/>
      <c r="B1011" s="2"/>
      <c r="C1011" s="2"/>
      <c r="D1011" s="2"/>
      <c r="E1011" s="2"/>
      <c r="F1011" s="2"/>
      <c r="G1011" s="2"/>
      <c r="H1011" s="2"/>
      <c r="I1011" s="40"/>
      <c r="J1011" s="39"/>
    </row>
    <row r="1012" spans="1:10" s="28" customFormat="1" ht="21" x14ac:dyDescent="0.35">
      <c r="A1012" s="1"/>
      <c r="B1012" s="2"/>
      <c r="C1012" s="2"/>
      <c r="D1012" s="2"/>
      <c r="E1012" s="2"/>
      <c r="F1012" s="2"/>
      <c r="G1012" s="2"/>
      <c r="H1012" s="2"/>
      <c r="I1012" s="40"/>
      <c r="J1012" s="39"/>
    </row>
    <row r="1013" spans="1:10" s="28" customFormat="1" ht="21" x14ac:dyDescent="0.35">
      <c r="A1013" s="1"/>
      <c r="B1013" s="2"/>
      <c r="C1013" s="2"/>
      <c r="D1013" s="2"/>
      <c r="E1013" s="2"/>
      <c r="F1013" s="2"/>
      <c r="G1013" s="2"/>
      <c r="H1013" s="2"/>
      <c r="I1013" s="40"/>
      <c r="J1013" s="39"/>
    </row>
    <row r="1014" spans="1:10" s="28" customFormat="1" ht="21" x14ac:dyDescent="0.35">
      <c r="A1014" s="1"/>
      <c r="B1014" s="2"/>
      <c r="C1014" s="2"/>
      <c r="D1014" s="2"/>
      <c r="E1014" s="2"/>
      <c r="F1014" s="2"/>
      <c r="G1014" s="2"/>
      <c r="H1014" s="2"/>
      <c r="I1014" s="40"/>
      <c r="J1014" s="39"/>
    </row>
    <row r="1015" spans="1:10" s="28" customFormat="1" ht="21" x14ac:dyDescent="0.35">
      <c r="A1015" s="1"/>
      <c r="B1015" s="2"/>
      <c r="C1015" s="2"/>
      <c r="D1015" s="2"/>
      <c r="E1015" s="2"/>
      <c r="F1015" s="2"/>
      <c r="G1015" s="2"/>
      <c r="H1015" s="2"/>
      <c r="I1015" s="40"/>
      <c r="J1015" s="39"/>
    </row>
    <row r="1016" spans="1:10" s="28" customFormat="1" ht="21" x14ac:dyDescent="0.35">
      <c r="A1016" s="1"/>
      <c r="B1016" s="2"/>
      <c r="C1016" s="2"/>
      <c r="D1016" s="2"/>
      <c r="E1016" s="2"/>
      <c r="F1016" s="2"/>
      <c r="G1016" s="2"/>
      <c r="H1016" s="2"/>
      <c r="I1016" s="40"/>
      <c r="J1016" s="39"/>
    </row>
    <row r="1017" spans="1:10" s="28" customFormat="1" ht="21" x14ac:dyDescent="0.35">
      <c r="A1017" s="1"/>
      <c r="B1017" s="2"/>
      <c r="C1017" s="2"/>
      <c r="D1017" s="2"/>
      <c r="E1017" s="2"/>
      <c r="F1017" s="2"/>
      <c r="G1017" s="2"/>
      <c r="H1017" s="2"/>
      <c r="I1017" s="40"/>
      <c r="J1017" s="39"/>
    </row>
    <row r="1018" spans="1:10" s="28" customFormat="1" ht="21" x14ac:dyDescent="0.35">
      <c r="A1018" s="1"/>
      <c r="B1018" s="2"/>
      <c r="C1018" s="2"/>
      <c r="D1018" s="2"/>
      <c r="E1018" s="2"/>
      <c r="F1018" s="2"/>
      <c r="G1018" s="2"/>
      <c r="H1018" s="2"/>
      <c r="I1018" s="40"/>
      <c r="J1018" s="39"/>
    </row>
    <row r="1019" spans="1:10" s="28" customFormat="1" ht="21" x14ac:dyDescent="0.35">
      <c r="A1019" s="1"/>
      <c r="B1019" s="2"/>
      <c r="C1019" s="2"/>
      <c r="D1019" s="2"/>
      <c r="E1019" s="2"/>
      <c r="F1019" s="2"/>
      <c r="G1019" s="2"/>
      <c r="H1019" s="2"/>
      <c r="I1019" s="40"/>
      <c r="J1019" s="39"/>
    </row>
    <row r="1020" spans="1:10" s="28" customFormat="1" ht="21" x14ac:dyDescent="0.35">
      <c r="A1020" s="1"/>
      <c r="B1020" s="2"/>
      <c r="C1020" s="2"/>
      <c r="D1020" s="2"/>
      <c r="E1020" s="2"/>
      <c r="F1020" s="2"/>
      <c r="G1020" s="2"/>
      <c r="H1020" s="2"/>
      <c r="I1020" s="40"/>
      <c r="J1020" s="39"/>
    </row>
    <row r="1021" spans="1:10" s="28" customFormat="1" ht="21" x14ac:dyDescent="0.35">
      <c r="A1021" s="1"/>
      <c r="B1021" s="2"/>
      <c r="C1021" s="2"/>
      <c r="D1021" s="2"/>
      <c r="E1021" s="2"/>
      <c r="F1021" s="2"/>
      <c r="G1021" s="2"/>
      <c r="H1021" s="2"/>
      <c r="I1021" s="40"/>
      <c r="J1021" s="39"/>
    </row>
    <row r="1022" spans="1:10" s="28" customFormat="1" ht="21" x14ac:dyDescent="0.35">
      <c r="A1022" s="1"/>
      <c r="B1022" s="2"/>
      <c r="C1022" s="2"/>
      <c r="D1022" s="2"/>
      <c r="E1022" s="2"/>
      <c r="F1022" s="2"/>
      <c r="G1022" s="2"/>
      <c r="H1022" s="2"/>
      <c r="I1022" s="40"/>
      <c r="J1022" s="39"/>
    </row>
    <row r="1023" spans="1:10" s="28" customFormat="1" ht="21" x14ac:dyDescent="0.35">
      <c r="A1023" s="1"/>
      <c r="B1023" s="2"/>
      <c r="C1023" s="2"/>
      <c r="D1023" s="2"/>
      <c r="E1023" s="2"/>
      <c r="F1023" s="2"/>
      <c r="G1023" s="2"/>
      <c r="H1023" s="2"/>
      <c r="I1023" s="40"/>
      <c r="J1023" s="39"/>
    </row>
    <row r="1024" spans="1:10" s="28" customFormat="1" ht="21" x14ac:dyDescent="0.35">
      <c r="A1024" s="1"/>
      <c r="B1024" s="2"/>
      <c r="C1024" s="2"/>
      <c r="D1024" s="2"/>
      <c r="E1024" s="2"/>
      <c r="F1024" s="2"/>
      <c r="G1024" s="2"/>
      <c r="H1024" s="2"/>
      <c r="I1024" s="40"/>
      <c r="J1024" s="39"/>
    </row>
    <row r="1025" spans="1:10" s="28" customFormat="1" ht="21" x14ac:dyDescent="0.35">
      <c r="A1025" s="1"/>
      <c r="B1025" s="2"/>
      <c r="C1025" s="2"/>
      <c r="D1025" s="2"/>
      <c r="E1025" s="2"/>
      <c r="F1025" s="2"/>
      <c r="G1025" s="2"/>
      <c r="H1025" s="2"/>
      <c r="I1025" s="40"/>
      <c r="J1025" s="39"/>
    </row>
    <row r="1026" spans="1:10" s="28" customFormat="1" ht="21" x14ac:dyDescent="0.35">
      <c r="A1026" s="1"/>
      <c r="B1026" s="2"/>
      <c r="C1026" s="2"/>
      <c r="D1026" s="2"/>
      <c r="E1026" s="2"/>
      <c r="F1026" s="2"/>
      <c r="G1026" s="2"/>
      <c r="H1026" s="2"/>
      <c r="I1026" s="40"/>
      <c r="J1026" s="39"/>
    </row>
    <row r="1027" spans="1:10" s="28" customFormat="1" ht="21" x14ac:dyDescent="0.35">
      <c r="A1027" s="1"/>
      <c r="B1027" s="2"/>
      <c r="C1027" s="2"/>
      <c r="D1027" s="2"/>
      <c r="E1027" s="2"/>
      <c r="F1027" s="2"/>
      <c r="G1027" s="2"/>
      <c r="H1027" s="2"/>
      <c r="I1027" s="40"/>
      <c r="J1027" s="39"/>
    </row>
    <row r="1028" spans="1:10" s="28" customFormat="1" ht="21" x14ac:dyDescent="0.35">
      <c r="A1028" s="1"/>
      <c r="B1028" s="2"/>
      <c r="C1028" s="2"/>
      <c r="D1028" s="2"/>
      <c r="E1028" s="2"/>
      <c r="F1028" s="2"/>
      <c r="G1028" s="2"/>
      <c r="H1028" s="2"/>
      <c r="I1028" s="40"/>
      <c r="J1028" s="39"/>
    </row>
    <row r="1029" spans="1:10" s="28" customFormat="1" ht="21" x14ac:dyDescent="0.35">
      <c r="A1029" s="1"/>
      <c r="B1029" s="2"/>
      <c r="C1029" s="2"/>
      <c r="D1029" s="2"/>
      <c r="E1029" s="2"/>
      <c r="F1029" s="2"/>
      <c r="G1029" s="2"/>
      <c r="H1029" s="2"/>
      <c r="I1029" s="40"/>
      <c r="J1029" s="39"/>
    </row>
    <row r="1030" spans="1:10" s="28" customFormat="1" ht="21" x14ac:dyDescent="0.35">
      <c r="A1030" s="1"/>
      <c r="B1030" s="2"/>
      <c r="C1030" s="2"/>
      <c r="D1030" s="2"/>
      <c r="E1030" s="2"/>
      <c r="F1030" s="2"/>
      <c r="G1030" s="2"/>
      <c r="H1030" s="2"/>
      <c r="I1030" s="40"/>
      <c r="J1030" s="39"/>
    </row>
    <row r="1031" spans="1:10" s="28" customFormat="1" ht="21" x14ac:dyDescent="0.35">
      <c r="A1031" s="1"/>
      <c r="B1031" s="2"/>
      <c r="C1031" s="2"/>
      <c r="D1031" s="2"/>
      <c r="E1031" s="2"/>
      <c r="F1031" s="2"/>
      <c r="G1031" s="2"/>
      <c r="H1031" s="2"/>
      <c r="I1031" s="40"/>
      <c r="J1031" s="39"/>
    </row>
    <row r="1032" spans="1:10" s="28" customFormat="1" ht="21" x14ac:dyDescent="0.35">
      <c r="A1032" s="1"/>
      <c r="B1032" s="2"/>
      <c r="C1032" s="2"/>
      <c r="D1032" s="2"/>
      <c r="E1032" s="2"/>
      <c r="F1032" s="2"/>
      <c r="G1032" s="2"/>
      <c r="H1032" s="2"/>
      <c r="I1032" s="40"/>
      <c r="J1032" s="39"/>
    </row>
    <row r="1033" spans="1:10" s="28" customFormat="1" ht="21" x14ac:dyDescent="0.35">
      <c r="A1033" s="1"/>
      <c r="B1033" s="2"/>
      <c r="C1033" s="2"/>
      <c r="D1033" s="2"/>
      <c r="E1033" s="2"/>
      <c r="F1033" s="2"/>
      <c r="G1033" s="2"/>
      <c r="H1033" s="2"/>
      <c r="I1033" s="40"/>
      <c r="J1033" s="39"/>
    </row>
    <row r="1034" spans="1:10" s="28" customFormat="1" ht="21" x14ac:dyDescent="0.35">
      <c r="A1034" s="1"/>
      <c r="B1034" s="2"/>
      <c r="C1034" s="2"/>
      <c r="D1034" s="2"/>
      <c r="E1034" s="2"/>
      <c r="F1034" s="2"/>
      <c r="G1034" s="2"/>
      <c r="H1034" s="2"/>
      <c r="I1034" s="40"/>
      <c r="J1034" s="39"/>
    </row>
    <row r="1035" spans="1:10" s="28" customFormat="1" ht="21" x14ac:dyDescent="0.35">
      <c r="A1035" s="1"/>
      <c r="B1035" s="2"/>
      <c r="C1035" s="2"/>
      <c r="D1035" s="2"/>
      <c r="E1035" s="2"/>
      <c r="F1035" s="2"/>
      <c r="G1035" s="2"/>
      <c r="H1035" s="2"/>
      <c r="I1035" s="40"/>
      <c r="J1035" s="39"/>
    </row>
    <row r="1036" spans="1:10" s="28" customFormat="1" ht="21" x14ac:dyDescent="0.35">
      <c r="A1036" s="1"/>
      <c r="B1036" s="2"/>
      <c r="C1036" s="2"/>
      <c r="D1036" s="2"/>
      <c r="E1036" s="2"/>
      <c r="F1036" s="2"/>
      <c r="G1036" s="2"/>
      <c r="H1036" s="2"/>
      <c r="I1036" s="40"/>
      <c r="J1036" s="39"/>
    </row>
    <row r="1037" spans="1:10" s="28" customFormat="1" ht="21" x14ac:dyDescent="0.35">
      <c r="A1037" s="1"/>
      <c r="B1037" s="2"/>
      <c r="C1037" s="2"/>
      <c r="D1037" s="2"/>
      <c r="E1037" s="2"/>
      <c r="F1037" s="2"/>
      <c r="G1037" s="2"/>
      <c r="H1037" s="2"/>
      <c r="I1037" s="40"/>
      <c r="J1037" s="39"/>
    </row>
    <row r="1038" spans="1:10" s="28" customFormat="1" ht="21" x14ac:dyDescent="0.35">
      <c r="A1038" s="1"/>
      <c r="B1038" s="2"/>
      <c r="C1038" s="2"/>
      <c r="D1038" s="2"/>
      <c r="E1038" s="2"/>
      <c r="F1038" s="2"/>
      <c r="G1038" s="2"/>
      <c r="H1038" s="2"/>
      <c r="I1038" s="40"/>
      <c r="J1038" s="39"/>
    </row>
    <row r="1039" spans="1:10" s="28" customFormat="1" ht="21" x14ac:dyDescent="0.35">
      <c r="A1039" s="1"/>
      <c r="B1039" s="2"/>
      <c r="C1039" s="2"/>
      <c r="D1039" s="2"/>
      <c r="E1039" s="2"/>
      <c r="F1039" s="2"/>
      <c r="G1039" s="2"/>
      <c r="H1039" s="2"/>
      <c r="I1039" s="40"/>
      <c r="J1039" s="39"/>
    </row>
    <row r="1040" spans="1:10" s="28" customFormat="1" ht="21" x14ac:dyDescent="0.35">
      <c r="A1040" s="1"/>
      <c r="B1040" s="2"/>
      <c r="C1040" s="2"/>
      <c r="D1040" s="2"/>
      <c r="E1040" s="2"/>
      <c r="F1040" s="2"/>
      <c r="G1040" s="2"/>
      <c r="H1040" s="2"/>
      <c r="I1040" s="40"/>
      <c r="J1040" s="39"/>
    </row>
    <row r="1041" spans="1:10" s="28" customFormat="1" ht="21" x14ac:dyDescent="0.35">
      <c r="A1041" s="1"/>
      <c r="B1041" s="2"/>
      <c r="C1041" s="2"/>
      <c r="D1041" s="2"/>
      <c r="E1041" s="2"/>
      <c r="F1041" s="2"/>
      <c r="G1041" s="2"/>
      <c r="H1041" s="2"/>
      <c r="I1041" s="40"/>
      <c r="J1041" s="39"/>
    </row>
    <row r="1042" spans="1:10" s="28" customFormat="1" ht="21" x14ac:dyDescent="0.35">
      <c r="A1042" s="1"/>
      <c r="B1042" s="2"/>
      <c r="C1042" s="2"/>
      <c r="D1042" s="2"/>
      <c r="E1042" s="2"/>
      <c r="F1042" s="2"/>
      <c r="G1042" s="2"/>
      <c r="H1042" s="2"/>
      <c r="I1042" s="40"/>
      <c r="J1042" s="39"/>
    </row>
    <row r="1043" spans="1:10" s="28" customFormat="1" ht="21" x14ac:dyDescent="0.35">
      <c r="A1043" s="1"/>
      <c r="B1043" s="2"/>
      <c r="C1043" s="2"/>
      <c r="D1043" s="2"/>
      <c r="E1043" s="2"/>
      <c r="F1043" s="2"/>
      <c r="G1043" s="2"/>
      <c r="H1043" s="2"/>
      <c r="I1043" s="40"/>
      <c r="J1043" s="39"/>
    </row>
    <row r="1044" spans="1:10" s="28" customFormat="1" ht="21" x14ac:dyDescent="0.35">
      <c r="A1044" s="1"/>
      <c r="B1044" s="2"/>
      <c r="C1044" s="2"/>
      <c r="D1044" s="2"/>
      <c r="E1044" s="2"/>
      <c r="F1044" s="2"/>
      <c r="G1044" s="2"/>
      <c r="H1044" s="2"/>
      <c r="I1044" s="40"/>
      <c r="J1044" s="39"/>
    </row>
    <row r="1045" spans="1:10" s="28" customFormat="1" ht="21" x14ac:dyDescent="0.35">
      <c r="A1045" s="1"/>
      <c r="B1045" s="2"/>
      <c r="C1045" s="2"/>
      <c r="D1045" s="2"/>
      <c r="E1045" s="2"/>
      <c r="F1045" s="2"/>
      <c r="G1045" s="2"/>
      <c r="H1045" s="2"/>
      <c r="I1045" s="40"/>
      <c r="J1045" s="39"/>
    </row>
    <row r="1046" spans="1:10" s="28" customFormat="1" ht="21" x14ac:dyDescent="0.35">
      <c r="A1046" s="1"/>
      <c r="B1046" s="2"/>
      <c r="C1046" s="2"/>
      <c r="D1046" s="2"/>
      <c r="E1046" s="2"/>
      <c r="F1046" s="2"/>
      <c r="G1046" s="2"/>
      <c r="H1046" s="2"/>
      <c r="I1046" s="40"/>
      <c r="J1046" s="39"/>
    </row>
    <row r="1047" spans="1:10" s="28" customFormat="1" ht="21" x14ac:dyDescent="0.35">
      <c r="A1047" s="1"/>
      <c r="B1047" s="2"/>
      <c r="C1047" s="2"/>
      <c r="D1047" s="2"/>
      <c r="E1047" s="2"/>
      <c r="F1047" s="2"/>
      <c r="G1047" s="2"/>
      <c r="H1047" s="2"/>
      <c r="I1047" s="40"/>
      <c r="J1047" s="39"/>
    </row>
    <row r="1048" spans="1:10" s="28" customFormat="1" ht="21" x14ac:dyDescent="0.35">
      <c r="A1048" s="1"/>
      <c r="B1048" s="2"/>
      <c r="C1048" s="2"/>
      <c r="D1048" s="2"/>
      <c r="E1048" s="2"/>
      <c r="F1048" s="2"/>
      <c r="G1048" s="2"/>
      <c r="H1048" s="2"/>
      <c r="I1048" s="40"/>
      <c r="J1048" s="39"/>
    </row>
    <row r="1049" spans="1:10" s="28" customFormat="1" ht="21" x14ac:dyDescent="0.35">
      <c r="A1049" s="1"/>
      <c r="B1049" s="2"/>
      <c r="C1049" s="2"/>
      <c r="D1049" s="2"/>
      <c r="E1049" s="2"/>
      <c r="F1049" s="2"/>
      <c r="G1049" s="2"/>
      <c r="H1049" s="2"/>
      <c r="I1049" s="40"/>
      <c r="J1049" s="39"/>
    </row>
    <row r="1050" spans="1:10" s="28" customFormat="1" ht="21" x14ac:dyDescent="0.35">
      <c r="A1050" s="1"/>
      <c r="B1050" s="2"/>
      <c r="C1050" s="2"/>
      <c r="D1050" s="2"/>
      <c r="E1050" s="2"/>
      <c r="F1050" s="2"/>
      <c r="G1050" s="2"/>
      <c r="H1050" s="2"/>
      <c r="I1050" s="40"/>
      <c r="J1050" s="39"/>
    </row>
    <row r="1051" spans="1:10" s="28" customFormat="1" ht="21" x14ac:dyDescent="0.35">
      <c r="A1051" s="1"/>
      <c r="B1051" s="2"/>
      <c r="C1051" s="2"/>
      <c r="D1051" s="2"/>
      <c r="E1051" s="2"/>
      <c r="F1051" s="2"/>
      <c r="G1051" s="2"/>
      <c r="H1051" s="2"/>
      <c r="I1051" s="40"/>
      <c r="J1051" s="39"/>
    </row>
    <row r="1052" spans="1:10" s="28" customFormat="1" ht="21" x14ac:dyDescent="0.35">
      <c r="A1052" s="1"/>
      <c r="B1052" s="2"/>
      <c r="C1052" s="2"/>
      <c r="D1052" s="2"/>
      <c r="E1052" s="2"/>
      <c r="F1052" s="2"/>
      <c r="G1052" s="2"/>
      <c r="H1052" s="2"/>
      <c r="I1052" s="40"/>
      <c r="J1052" s="39"/>
    </row>
    <row r="1053" spans="1:10" s="28" customFormat="1" ht="21" x14ac:dyDescent="0.35">
      <c r="A1053" s="1"/>
      <c r="B1053" s="2"/>
      <c r="C1053" s="2"/>
      <c r="D1053" s="2"/>
      <c r="E1053" s="2"/>
      <c r="F1053" s="2"/>
      <c r="G1053" s="2"/>
      <c r="H1053" s="2"/>
      <c r="I1053" s="40"/>
      <c r="J1053" s="39"/>
    </row>
    <row r="1054" spans="1:10" s="28" customFormat="1" ht="21" x14ac:dyDescent="0.35">
      <c r="A1054" s="1"/>
      <c r="B1054" s="2"/>
      <c r="C1054" s="2"/>
      <c r="D1054" s="2"/>
      <c r="E1054" s="2"/>
      <c r="F1054" s="2"/>
      <c r="G1054" s="2"/>
      <c r="H1054" s="2"/>
      <c r="I1054" s="40"/>
      <c r="J1054" s="39"/>
    </row>
    <row r="1055" spans="1:10" s="28" customFormat="1" ht="21" x14ac:dyDescent="0.35">
      <c r="A1055" s="1"/>
      <c r="B1055" s="2"/>
      <c r="C1055" s="2"/>
      <c r="D1055" s="2"/>
      <c r="E1055" s="2"/>
      <c r="F1055" s="2"/>
      <c r="G1055" s="2"/>
      <c r="H1055" s="2"/>
      <c r="I1055" s="40"/>
      <c r="J1055" s="39"/>
    </row>
    <row r="1056" spans="1:10" s="28" customFormat="1" ht="21" x14ac:dyDescent="0.35">
      <c r="A1056" s="1"/>
      <c r="B1056" s="2"/>
      <c r="C1056" s="2"/>
      <c r="D1056" s="2"/>
      <c r="E1056" s="2"/>
      <c r="F1056" s="2"/>
      <c r="G1056" s="2"/>
      <c r="H1056" s="2"/>
      <c r="I1056" s="40"/>
      <c r="J1056" s="39"/>
    </row>
    <row r="1057" spans="1:10" s="28" customFormat="1" ht="21" x14ac:dyDescent="0.35">
      <c r="A1057" s="1"/>
      <c r="B1057" s="2"/>
      <c r="C1057" s="2"/>
      <c r="D1057" s="2"/>
      <c r="E1057" s="2"/>
      <c r="F1057" s="2"/>
      <c r="G1057" s="2"/>
      <c r="H1057" s="2"/>
      <c r="I1057" s="40"/>
      <c r="J1057" s="39"/>
    </row>
    <row r="1058" spans="1:10" s="28" customFormat="1" ht="21" x14ac:dyDescent="0.35">
      <c r="A1058" s="1"/>
      <c r="B1058" s="2"/>
      <c r="C1058" s="2"/>
      <c r="D1058" s="2"/>
      <c r="E1058" s="2"/>
      <c r="F1058" s="2"/>
      <c r="G1058" s="2"/>
      <c r="H1058" s="2"/>
      <c r="I1058" s="40"/>
      <c r="J1058" s="39"/>
    </row>
    <row r="1059" spans="1:10" s="28" customFormat="1" ht="21" x14ac:dyDescent="0.35">
      <c r="A1059" s="1"/>
      <c r="B1059" s="2"/>
      <c r="C1059" s="2"/>
      <c r="D1059" s="2"/>
      <c r="E1059" s="2"/>
      <c r="F1059" s="2"/>
      <c r="G1059" s="2"/>
      <c r="H1059" s="2"/>
      <c r="I1059" s="40"/>
      <c r="J1059" s="39"/>
    </row>
    <row r="1060" spans="1:10" s="28" customFormat="1" ht="21" x14ac:dyDescent="0.35">
      <c r="A1060" s="1"/>
      <c r="B1060" s="2"/>
      <c r="C1060" s="2"/>
      <c r="D1060" s="2"/>
      <c r="E1060" s="2"/>
      <c r="F1060" s="2"/>
      <c r="G1060" s="2"/>
      <c r="H1060" s="2"/>
      <c r="I1060" s="40"/>
      <c r="J1060" s="39"/>
    </row>
    <row r="1061" spans="1:10" s="28" customFormat="1" ht="21" x14ac:dyDescent="0.35">
      <c r="A1061" s="1"/>
      <c r="B1061" s="2"/>
      <c r="C1061" s="2"/>
      <c r="D1061" s="2"/>
      <c r="E1061" s="2"/>
      <c r="F1061" s="2"/>
      <c r="G1061" s="2"/>
      <c r="H1061" s="2"/>
      <c r="I1061" s="40"/>
      <c r="J1061" s="39"/>
    </row>
    <row r="1062" spans="1:10" s="28" customFormat="1" ht="21" x14ac:dyDescent="0.35">
      <c r="A1062" s="1"/>
      <c r="B1062" s="2"/>
      <c r="C1062" s="2"/>
      <c r="D1062" s="2"/>
      <c r="E1062" s="2"/>
      <c r="F1062" s="2"/>
      <c r="G1062" s="2"/>
      <c r="H1062" s="2"/>
      <c r="I1062" s="40"/>
      <c r="J1062" s="39"/>
    </row>
    <row r="1063" spans="1:10" s="28" customFormat="1" ht="21" x14ac:dyDescent="0.35">
      <c r="A1063" s="1"/>
      <c r="B1063" s="2"/>
      <c r="C1063" s="2"/>
      <c r="D1063" s="2"/>
      <c r="E1063" s="2"/>
      <c r="F1063" s="2"/>
      <c r="G1063" s="2"/>
      <c r="H1063" s="2"/>
      <c r="I1063" s="40"/>
      <c r="J1063" s="39"/>
    </row>
    <row r="1064" spans="1:10" s="28" customFormat="1" ht="21" x14ac:dyDescent="0.35">
      <c r="A1064" s="1"/>
      <c r="B1064" s="2"/>
      <c r="C1064" s="2"/>
      <c r="D1064" s="2"/>
      <c r="E1064" s="2"/>
      <c r="F1064" s="2"/>
      <c r="G1064" s="2"/>
      <c r="H1064" s="2"/>
      <c r="I1064" s="40"/>
      <c r="J1064" s="39"/>
    </row>
    <row r="1065" spans="1:10" s="28" customFormat="1" ht="21" x14ac:dyDescent="0.35">
      <c r="A1065" s="1"/>
      <c r="B1065" s="2"/>
      <c r="C1065" s="2"/>
      <c r="D1065" s="2"/>
      <c r="E1065" s="2"/>
      <c r="F1065" s="2"/>
      <c r="G1065" s="2"/>
      <c r="H1065" s="2"/>
      <c r="I1065" s="40"/>
      <c r="J1065" s="39"/>
    </row>
    <row r="1066" spans="1:10" s="28" customFormat="1" ht="21" x14ac:dyDescent="0.35">
      <c r="A1066" s="1"/>
      <c r="B1066" s="2"/>
      <c r="C1066" s="2"/>
      <c r="D1066" s="2"/>
      <c r="E1066" s="2"/>
      <c r="F1066" s="2"/>
      <c r="G1066" s="2"/>
      <c r="H1066" s="2"/>
      <c r="I1066" s="40"/>
      <c r="J1066" s="39"/>
    </row>
    <row r="1067" spans="1:10" s="28" customFormat="1" ht="21" x14ac:dyDescent="0.35">
      <c r="A1067" s="1"/>
      <c r="B1067" s="2"/>
      <c r="C1067" s="2"/>
      <c r="D1067" s="2"/>
      <c r="E1067" s="2"/>
      <c r="F1067" s="2"/>
      <c r="G1067" s="2"/>
      <c r="H1067" s="2"/>
      <c r="I1067" s="40"/>
      <c r="J1067" s="39"/>
    </row>
    <row r="1068" spans="1:10" s="28" customFormat="1" ht="21" x14ac:dyDescent="0.35">
      <c r="A1068" s="1"/>
      <c r="B1068" s="2"/>
      <c r="C1068" s="2"/>
      <c r="D1068" s="2"/>
      <c r="E1068" s="2"/>
      <c r="F1068" s="2"/>
      <c r="G1068" s="2"/>
      <c r="H1068" s="2"/>
      <c r="I1068" s="40"/>
      <c r="J1068" s="39"/>
    </row>
    <row r="1069" spans="1:10" s="28" customFormat="1" ht="21" x14ac:dyDescent="0.35">
      <c r="A1069" s="1"/>
      <c r="B1069" s="2"/>
      <c r="C1069" s="2"/>
      <c r="D1069" s="2"/>
      <c r="E1069" s="2"/>
      <c r="F1069" s="2"/>
      <c r="G1069" s="2"/>
      <c r="H1069" s="2"/>
      <c r="I1069" s="40"/>
      <c r="J1069" s="39"/>
    </row>
    <row r="1070" spans="1:10" s="28" customFormat="1" ht="21" x14ac:dyDescent="0.35">
      <c r="A1070" s="1"/>
      <c r="B1070" s="2"/>
      <c r="C1070" s="2"/>
      <c r="D1070" s="2"/>
      <c r="E1070" s="2"/>
      <c r="F1070" s="2"/>
      <c r="G1070" s="2"/>
      <c r="H1070" s="2"/>
      <c r="I1070" s="40"/>
      <c r="J1070" s="39"/>
    </row>
    <row r="1071" spans="1:10" s="28" customFormat="1" ht="21" x14ac:dyDescent="0.35">
      <c r="A1071" s="1"/>
      <c r="B1071" s="2"/>
      <c r="C1071" s="2"/>
      <c r="D1071" s="2"/>
      <c r="E1071" s="2"/>
      <c r="F1071" s="2"/>
      <c r="G1071" s="2"/>
      <c r="H1071" s="2"/>
      <c r="I1071" s="40"/>
      <c r="J1071" s="39"/>
    </row>
    <row r="1072" spans="1:10" s="28" customFormat="1" ht="21" x14ac:dyDescent="0.35">
      <c r="A1072" s="1"/>
      <c r="B1072" s="2"/>
      <c r="C1072" s="2"/>
      <c r="D1072" s="2"/>
      <c r="E1072" s="2"/>
      <c r="F1072" s="2"/>
      <c r="G1072" s="2"/>
      <c r="H1072" s="2"/>
      <c r="I1072" s="40"/>
      <c r="J1072" s="39"/>
    </row>
    <row r="1073" spans="1:10" s="28" customFormat="1" ht="21" x14ac:dyDescent="0.35">
      <c r="A1073" s="1"/>
      <c r="B1073" s="2"/>
      <c r="C1073" s="2"/>
      <c r="D1073" s="2"/>
      <c r="E1073" s="2"/>
      <c r="F1073" s="2"/>
      <c r="G1073" s="2"/>
      <c r="H1073" s="2"/>
      <c r="I1073" s="40"/>
      <c r="J1073" s="39"/>
    </row>
    <row r="1074" spans="1:10" s="28" customFormat="1" ht="21" x14ac:dyDescent="0.35">
      <c r="A1074" s="1"/>
      <c r="B1074" s="2"/>
      <c r="C1074" s="2"/>
      <c r="D1074" s="2"/>
      <c r="E1074" s="2"/>
      <c r="F1074" s="2"/>
      <c r="G1074" s="2"/>
      <c r="H1074" s="2"/>
      <c r="I1074" s="40"/>
      <c r="J1074" s="39"/>
    </row>
    <row r="1075" spans="1:10" s="28" customFormat="1" ht="21" x14ac:dyDescent="0.35">
      <c r="A1075" s="1"/>
      <c r="B1075" s="2"/>
      <c r="C1075" s="2"/>
      <c r="D1075" s="2"/>
      <c r="E1075" s="2"/>
      <c r="F1075" s="2"/>
      <c r="G1075" s="2"/>
      <c r="H1075" s="2"/>
      <c r="I1075" s="40"/>
      <c r="J1075" s="39"/>
    </row>
    <row r="1076" spans="1:10" s="28" customFormat="1" ht="21" x14ac:dyDescent="0.35">
      <c r="A1076" s="1"/>
      <c r="B1076" s="2"/>
      <c r="C1076" s="2"/>
      <c r="D1076" s="2"/>
      <c r="E1076" s="2"/>
      <c r="F1076" s="2"/>
      <c r="G1076" s="2"/>
      <c r="H1076" s="2"/>
      <c r="I1076" s="40"/>
      <c r="J1076" s="39"/>
    </row>
    <row r="1077" spans="1:10" s="28" customFormat="1" ht="21" x14ac:dyDescent="0.35">
      <c r="A1077" s="1"/>
      <c r="B1077" s="2"/>
      <c r="C1077" s="2"/>
      <c r="D1077" s="2"/>
      <c r="E1077" s="2"/>
      <c r="F1077" s="2"/>
      <c r="G1077" s="2"/>
      <c r="H1077" s="2"/>
      <c r="I1077" s="40"/>
      <c r="J1077" s="39"/>
    </row>
    <row r="1078" spans="1:10" s="28" customFormat="1" ht="21" x14ac:dyDescent="0.35">
      <c r="A1078" s="1"/>
      <c r="B1078" s="2"/>
      <c r="C1078" s="2"/>
      <c r="D1078" s="2"/>
      <c r="E1078" s="2"/>
      <c r="F1078" s="2"/>
      <c r="G1078" s="2"/>
      <c r="H1078" s="2"/>
      <c r="I1078" s="40"/>
      <c r="J1078" s="39"/>
    </row>
    <row r="1079" spans="1:10" s="28" customFormat="1" ht="21" x14ac:dyDescent="0.35">
      <c r="A1079" s="1"/>
      <c r="B1079" s="2"/>
      <c r="C1079" s="2"/>
      <c r="D1079" s="2"/>
      <c r="E1079" s="2"/>
      <c r="F1079" s="2"/>
      <c r="G1079" s="2"/>
      <c r="H1079" s="2"/>
      <c r="I1079" s="40"/>
      <c r="J1079" s="39"/>
    </row>
    <row r="1080" spans="1:10" s="28" customFormat="1" ht="21" x14ac:dyDescent="0.35">
      <c r="A1080" s="1"/>
      <c r="B1080" s="2"/>
      <c r="C1080" s="2"/>
      <c r="D1080" s="2"/>
      <c r="E1080" s="2"/>
      <c r="F1080" s="2"/>
      <c r="G1080" s="2"/>
      <c r="H1080" s="2"/>
      <c r="I1080" s="40"/>
      <c r="J1080" s="39"/>
    </row>
    <row r="1081" spans="1:10" s="28" customFormat="1" ht="21" x14ac:dyDescent="0.35">
      <c r="A1081" s="1"/>
      <c r="B1081" s="2"/>
      <c r="C1081" s="2"/>
      <c r="D1081" s="2"/>
      <c r="E1081" s="2"/>
      <c r="F1081" s="2"/>
      <c r="G1081" s="2"/>
      <c r="H1081" s="2"/>
      <c r="I1081" s="40"/>
      <c r="J1081" s="39"/>
    </row>
    <row r="1082" spans="1:10" s="28" customFormat="1" ht="21" x14ac:dyDescent="0.35">
      <c r="A1082" s="1"/>
      <c r="B1082" s="2"/>
      <c r="C1082" s="2"/>
      <c r="D1082" s="2"/>
      <c r="E1082" s="2"/>
      <c r="F1082" s="2"/>
      <c r="G1082" s="2"/>
      <c r="H1082" s="2"/>
      <c r="I1082" s="40"/>
      <c r="J1082" s="39"/>
    </row>
    <row r="1083" spans="1:10" s="28" customFormat="1" ht="21" x14ac:dyDescent="0.35">
      <c r="A1083" s="1"/>
      <c r="B1083" s="2"/>
      <c r="C1083" s="2"/>
      <c r="D1083" s="2"/>
      <c r="E1083" s="2"/>
      <c r="F1083" s="2"/>
      <c r="G1083" s="2"/>
      <c r="H1083" s="2"/>
      <c r="I1083" s="40"/>
      <c r="J1083" s="39"/>
    </row>
    <row r="1084" spans="1:10" s="28" customFormat="1" ht="21" x14ac:dyDescent="0.35">
      <c r="A1084" s="1"/>
      <c r="B1084" s="2"/>
      <c r="C1084" s="2"/>
      <c r="D1084" s="2"/>
      <c r="E1084" s="2"/>
      <c r="F1084" s="2"/>
      <c r="G1084" s="2"/>
      <c r="H1084" s="2"/>
      <c r="I1084" s="40"/>
      <c r="J1084" s="39"/>
    </row>
    <row r="1085" spans="1:10" s="28" customFormat="1" ht="21" x14ac:dyDescent="0.35">
      <c r="A1085" s="1"/>
      <c r="B1085" s="2"/>
      <c r="C1085" s="2"/>
      <c r="D1085" s="2"/>
      <c r="E1085" s="2"/>
      <c r="F1085" s="2"/>
      <c r="G1085" s="2"/>
      <c r="H1085" s="2"/>
      <c r="I1085" s="40"/>
      <c r="J1085" s="39"/>
    </row>
    <row r="1086" spans="1:10" s="28" customFormat="1" ht="21" x14ac:dyDescent="0.35">
      <c r="A1086" s="1"/>
      <c r="B1086" s="2"/>
      <c r="C1086" s="2"/>
      <c r="D1086" s="2"/>
      <c r="E1086" s="2"/>
      <c r="F1086" s="2"/>
      <c r="G1086" s="2"/>
      <c r="H1086" s="2"/>
      <c r="I1086" s="40"/>
      <c r="J1086" s="39"/>
    </row>
    <row r="1087" spans="1:10" s="28" customFormat="1" ht="21" x14ac:dyDescent="0.35">
      <c r="A1087" s="1"/>
      <c r="B1087" s="2"/>
      <c r="C1087" s="2"/>
      <c r="D1087" s="2"/>
      <c r="E1087" s="2"/>
      <c r="F1087" s="2"/>
      <c r="G1087" s="2"/>
      <c r="H1087" s="2"/>
      <c r="I1087" s="40"/>
      <c r="J1087" s="39"/>
    </row>
    <row r="1088" spans="1:10" s="28" customFormat="1" ht="21" x14ac:dyDescent="0.35">
      <c r="A1088" s="1"/>
      <c r="B1088" s="2"/>
      <c r="C1088" s="2"/>
      <c r="D1088" s="2"/>
      <c r="E1088" s="2"/>
      <c r="F1088" s="2"/>
      <c r="G1088" s="2"/>
      <c r="H1088" s="2"/>
      <c r="I1088" s="40"/>
      <c r="J1088" s="39"/>
    </row>
    <row r="1089" spans="1:10" s="28" customFormat="1" ht="21" x14ac:dyDescent="0.35">
      <c r="A1089" s="1"/>
      <c r="B1089" s="2"/>
      <c r="C1089" s="2"/>
      <c r="D1089" s="2"/>
      <c r="E1089" s="2"/>
      <c r="F1089" s="2"/>
      <c r="G1089" s="2"/>
      <c r="H1089" s="2"/>
      <c r="I1089" s="40"/>
      <c r="J1089" s="39"/>
    </row>
    <row r="1090" spans="1:10" s="28" customFormat="1" ht="21" x14ac:dyDescent="0.35">
      <c r="A1090" s="1"/>
      <c r="B1090" s="2"/>
      <c r="C1090" s="2"/>
      <c r="D1090" s="2"/>
      <c r="E1090" s="2"/>
      <c r="F1090" s="2"/>
      <c r="G1090" s="2"/>
      <c r="H1090" s="2"/>
      <c r="I1090" s="40"/>
      <c r="J1090" s="39"/>
    </row>
    <row r="1091" spans="1:10" s="28" customFormat="1" ht="21" x14ac:dyDescent="0.35">
      <c r="A1091" s="1"/>
      <c r="B1091" s="2"/>
      <c r="C1091" s="2"/>
      <c r="D1091" s="2"/>
      <c r="E1091" s="2"/>
      <c r="F1091" s="2"/>
      <c r="G1091" s="2"/>
      <c r="H1091" s="2"/>
      <c r="I1091" s="40"/>
      <c r="J1091" s="39"/>
    </row>
    <row r="1092" spans="1:10" s="28" customFormat="1" ht="21" x14ac:dyDescent="0.35">
      <c r="A1092" s="1"/>
      <c r="B1092" s="2"/>
      <c r="C1092" s="2"/>
      <c r="D1092" s="2"/>
      <c r="E1092" s="2"/>
      <c r="F1092" s="2"/>
      <c r="G1092" s="2"/>
      <c r="H1092" s="2"/>
      <c r="I1092" s="40"/>
      <c r="J1092" s="39"/>
    </row>
    <row r="1093" spans="1:10" s="28" customFormat="1" ht="21" x14ac:dyDescent="0.35">
      <c r="A1093" s="1"/>
      <c r="B1093" s="2"/>
      <c r="C1093" s="2"/>
      <c r="D1093" s="2"/>
      <c r="E1093" s="2"/>
      <c r="F1093" s="2"/>
      <c r="G1093" s="2"/>
      <c r="H1093" s="2"/>
      <c r="I1093" s="40"/>
      <c r="J1093" s="39"/>
    </row>
    <row r="1094" spans="1:10" s="28" customFormat="1" ht="21" x14ac:dyDescent="0.35">
      <c r="A1094" s="1"/>
      <c r="B1094" s="2"/>
      <c r="C1094" s="2"/>
      <c r="D1094" s="2"/>
      <c r="E1094" s="2"/>
      <c r="F1094" s="2"/>
      <c r="G1094" s="2"/>
      <c r="H1094" s="2"/>
      <c r="I1094" s="40"/>
      <c r="J1094" s="39"/>
    </row>
    <row r="1095" spans="1:10" s="28" customFormat="1" ht="21" x14ac:dyDescent="0.35">
      <c r="A1095" s="1"/>
      <c r="B1095" s="2"/>
      <c r="C1095" s="2"/>
      <c r="D1095" s="2"/>
      <c r="E1095" s="2"/>
      <c r="F1095" s="2"/>
      <c r="G1095" s="2"/>
      <c r="H1095" s="2"/>
      <c r="I1095" s="40"/>
      <c r="J1095" s="39"/>
    </row>
    <row r="1096" spans="1:10" s="28" customFormat="1" ht="21" x14ac:dyDescent="0.35">
      <c r="A1096" s="1"/>
      <c r="B1096" s="2"/>
      <c r="C1096" s="2"/>
      <c r="D1096" s="2"/>
      <c r="E1096" s="2"/>
      <c r="F1096" s="2"/>
      <c r="G1096" s="2"/>
      <c r="H1096" s="2"/>
      <c r="I1096" s="40"/>
      <c r="J1096" s="39"/>
    </row>
    <row r="1097" spans="1:10" s="28" customFormat="1" ht="21" x14ac:dyDescent="0.35">
      <c r="A1097" s="1"/>
      <c r="B1097" s="2"/>
      <c r="C1097" s="2"/>
      <c r="D1097" s="2"/>
      <c r="E1097" s="2"/>
      <c r="F1097" s="2"/>
      <c r="G1097" s="2"/>
      <c r="H1097" s="2"/>
      <c r="I1097" s="40"/>
      <c r="J1097" s="39"/>
    </row>
    <row r="1098" spans="1:10" s="28" customFormat="1" ht="21" x14ac:dyDescent="0.35">
      <c r="A1098" s="1"/>
      <c r="B1098" s="2"/>
      <c r="C1098" s="2"/>
      <c r="D1098" s="2"/>
      <c r="E1098" s="2"/>
      <c r="F1098" s="2"/>
      <c r="G1098" s="2"/>
      <c r="H1098" s="2"/>
      <c r="I1098" s="40"/>
      <c r="J1098" s="39"/>
    </row>
    <row r="1099" spans="1:10" s="28" customFormat="1" ht="21" x14ac:dyDescent="0.35">
      <c r="A1099" s="1"/>
      <c r="B1099" s="2"/>
      <c r="C1099" s="2"/>
      <c r="D1099" s="2"/>
      <c r="E1099" s="2"/>
      <c r="F1099" s="2"/>
      <c r="G1099" s="2"/>
      <c r="H1099" s="2"/>
      <c r="I1099" s="40"/>
      <c r="J1099" s="39"/>
    </row>
    <row r="1100" spans="1:10" s="28" customFormat="1" ht="21" x14ac:dyDescent="0.35">
      <c r="A1100" s="1"/>
      <c r="B1100" s="2"/>
      <c r="C1100" s="2"/>
      <c r="D1100" s="2"/>
      <c r="E1100" s="2"/>
      <c r="F1100" s="2"/>
      <c r="G1100" s="2"/>
      <c r="H1100" s="2"/>
      <c r="I1100" s="40"/>
      <c r="J1100" s="39"/>
    </row>
    <row r="1101" spans="1:10" s="28" customFormat="1" ht="21" x14ac:dyDescent="0.35">
      <c r="A1101" s="1"/>
      <c r="B1101" s="2"/>
      <c r="C1101" s="2"/>
      <c r="D1101" s="2"/>
      <c r="E1101" s="2"/>
      <c r="F1101" s="2"/>
      <c r="G1101" s="2"/>
      <c r="H1101" s="2"/>
      <c r="I1101" s="40"/>
      <c r="J1101" s="39"/>
    </row>
    <row r="1102" spans="1:10" s="28" customFormat="1" ht="21" x14ac:dyDescent="0.35">
      <c r="A1102" s="1"/>
      <c r="B1102" s="2"/>
      <c r="C1102" s="2"/>
      <c r="D1102" s="2"/>
      <c r="E1102" s="2"/>
      <c r="F1102" s="2"/>
      <c r="G1102" s="2"/>
      <c r="H1102" s="2"/>
      <c r="I1102" s="40"/>
      <c r="J1102" s="39"/>
    </row>
    <row r="1103" spans="1:10" s="28" customFormat="1" ht="21" x14ac:dyDescent="0.35">
      <c r="A1103" s="1"/>
      <c r="B1103" s="2"/>
      <c r="C1103" s="2"/>
      <c r="D1103" s="2"/>
      <c r="E1103" s="2"/>
      <c r="F1103" s="2"/>
      <c r="G1103" s="2"/>
      <c r="H1103" s="2"/>
      <c r="I1103" s="40"/>
      <c r="J1103" s="39"/>
    </row>
    <row r="1104" spans="1:10" s="28" customFormat="1" ht="21" x14ac:dyDescent="0.35">
      <c r="A1104" s="1"/>
      <c r="B1104" s="2"/>
      <c r="C1104" s="2"/>
      <c r="D1104" s="2"/>
      <c r="E1104" s="2"/>
      <c r="F1104" s="2"/>
      <c r="G1104" s="2"/>
      <c r="H1104" s="2"/>
      <c r="I1104" s="40"/>
      <c r="J1104" s="39"/>
    </row>
    <row r="1105" spans="1:10" s="28" customFormat="1" ht="21" x14ac:dyDescent="0.35">
      <c r="A1105" s="1"/>
      <c r="B1105" s="2"/>
      <c r="C1105" s="2"/>
      <c r="D1105" s="2"/>
      <c r="E1105" s="2"/>
      <c r="F1105" s="2"/>
      <c r="G1105" s="2"/>
      <c r="H1105" s="2"/>
      <c r="I1105" s="40"/>
      <c r="J1105" s="39"/>
    </row>
    <row r="1106" spans="1:10" s="28" customFormat="1" ht="21" x14ac:dyDescent="0.35">
      <c r="A1106" s="1"/>
      <c r="B1106" s="2"/>
      <c r="C1106" s="2"/>
      <c r="D1106" s="2"/>
      <c r="E1106" s="2"/>
      <c r="F1106" s="2"/>
      <c r="G1106" s="2"/>
      <c r="H1106" s="2"/>
      <c r="I1106" s="40"/>
      <c r="J1106" s="39"/>
    </row>
    <row r="1107" spans="1:10" s="28" customFormat="1" ht="21" x14ac:dyDescent="0.35">
      <c r="A1107" s="1"/>
      <c r="B1107" s="2"/>
      <c r="C1107" s="2"/>
      <c r="D1107" s="2"/>
      <c r="E1107" s="2"/>
      <c r="F1107" s="2"/>
      <c r="G1107" s="2"/>
      <c r="H1107" s="2"/>
      <c r="I1107" s="40"/>
      <c r="J1107" s="39"/>
    </row>
    <row r="1108" spans="1:10" s="28" customFormat="1" ht="21" x14ac:dyDescent="0.35">
      <c r="A1108" s="1"/>
      <c r="B1108" s="2"/>
      <c r="C1108" s="2"/>
      <c r="D1108" s="2"/>
      <c r="E1108" s="2"/>
      <c r="F1108" s="2"/>
      <c r="G1108" s="2"/>
      <c r="H1108" s="2"/>
      <c r="I1108" s="40"/>
      <c r="J1108" s="39"/>
    </row>
    <row r="1109" spans="1:10" s="28" customFormat="1" ht="21" x14ac:dyDescent="0.35">
      <c r="A1109" s="1"/>
      <c r="B1109" s="2"/>
      <c r="C1109" s="2"/>
      <c r="D1109" s="2"/>
      <c r="E1109" s="2"/>
      <c r="F1109" s="2"/>
      <c r="G1109" s="2"/>
      <c r="H1109" s="2"/>
      <c r="I1109" s="40"/>
      <c r="J1109" s="39"/>
    </row>
    <row r="1110" spans="1:10" s="28" customFormat="1" ht="21" x14ac:dyDescent="0.35">
      <c r="A1110" s="1"/>
      <c r="B1110" s="2"/>
      <c r="C1110" s="2"/>
      <c r="D1110" s="2"/>
      <c r="E1110" s="2"/>
      <c r="F1110" s="2"/>
      <c r="G1110" s="2"/>
      <c r="H1110" s="2"/>
      <c r="I1110" s="40"/>
      <c r="J1110" s="39"/>
    </row>
    <row r="1111" spans="1:10" s="28" customFormat="1" ht="21" x14ac:dyDescent="0.35">
      <c r="A1111" s="1"/>
      <c r="B1111" s="2"/>
      <c r="C1111" s="2"/>
      <c r="D1111" s="2"/>
      <c r="E1111" s="2"/>
      <c r="F1111" s="2"/>
      <c r="G1111" s="2"/>
      <c r="H1111" s="2"/>
      <c r="I1111" s="40"/>
      <c r="J1111" s="39"/>
    </row>
    <row r="1112" spans="1:10" s="28" customFormat="1" ht="21" x14ac:dyDescent="0.35">
      <c r="A1112" s="1"/>
      <c r="B1112" s="2"/>
      <c r="C1112" s="2"/>
      <c r="D1112" s="2"/>
      <c r="E1112" s="2"/>
      <c r="F1112" s="2"/>
      <c r="G1112" s="2"/>
      <c r="H1112" s="2"/>
      <c r="I1112" s="40"/>
      <c r="J1112" s="39"/>
    </row>
    <row r="1113" spans="1:10" s="28" customFormat="1" ht="21" x14ac:dyDescent="0.35">
      <c r="A1113" s="1"/>
      <c r="B1113" s="2"/>
      <c r="C1113" s="2"/>
      <c r="D1113" s="2"/>
      <c r="E1113" s="2"/>
      <c r="F1113" s="2"/>
      <c r="G1113" s="2"/>
      <c r="H1113" s="2"/>
      <c r="I1113" s="40"/>
      <c r="J1113" s="39"/>
    </row>
    <row r="1114" spans="1:10" s="28" customFormat="1" ht="21" x14ac:dyDescent="0.35">
      <c r="A1114" s="1"/>
      <c r="B1114" s="2"/>
      <c r="C1114" s="2"/>
      <c r="D1114" s="2"/>
      <c r="E1114" s="2"/>
      <c r="F1114" s="2"/>
      <c r="G1114" s="2"/>
      <c r="H1114" s="2"/>
      <c r="I1114" s="40"/>
      <c r="J1114" s="39"/>
    </row>
    <row r="1115" spans="1:10" s="28" customFormat="1" ht="21" x14ac:dyDescent="0.35">
      <c r="A1115" s="1"/>
      <c r="B1115" s="2"/>
      <c r="C1115" s="2"/>
      <c r="D1115" s="2"/>
      <c r="E1115" s="2"/>
      <c r="F1115" s="2"/>
      <c r="G1115" s="2"/>
      <c r="H1115" s="2"/>
      <c r="I1115" s="40"/>
      <c r="J1115" s="39"/>
    </row>
    <row r="1116" spans="1:10" s="28" customFormat="1" ht="21" x14ac:dyDescent="0.35">
      <c r="A1116" s="1"/>
      <c r="B1116" s="2"/>
      <c r="C1116" s="2"/>
      <c r="D1116" s="2"/>
      <c r="E1116" s="2"/>
      <c r="F1116" s="2"/>
      <c r="G1116" s="2"/>
      <c r="H1116" s="2"/>
      <c r="I1116" s="40"/>
      <c r="J1116" s="39"/>
    </row>
    <row r="1117" spans="1:10" s="28" customFormat="1" ht="21" x14ac:dyDescent="0.35">
      <c r="A1117" s="1"/>
      <c r="B1117" s="2"/>
      <c r="C1117" s="2"/>
      <c r="D1117" s="2"/>
      <c r="E1117" s="2"/>
      <c r="F1117" s="2"/>
      <c r="G1117" s="2"/>
      <c r="H1117" s="2"/>
      <c r="I1117" s="40"/>
      <c r="J1117" s="39"/>
    </row>
    <row r="1118" spans="1:10" s="28" customFormat="1" ht="21" x14ac:dyDescent="0.35">
      <c r="A1118" s="1"/>
      <c r="B1118" s="2"/>
      <c r="C1118" s="2"/>
      <c r="D1118" s="2"/>
      <c r="E1118" s="2"/>
      <c r="F1118" s="2"/>
      <c r="G1118" s="2"/>
      <c r="H1118" s="2"/>
      <c r="I1118" s="40"/>
      <c r="J1118" s="39"/>
    </row>
    <row r="1119" spans="1:10" s="28" customFormat="1" ht="21" x14ac:dyDescent="0.35">
      <c r="A1119" s="1"/>
      <c r="B1119" s="2"/>
      <c r="C1119" s="2"/>
      <c r="D1119" s="2"/>
      <c r="E1119" s="2"/>
      <c r="F1119" s="2"/>
      <c r="G1119" s="2"/>
      <c r="H1119" s="2"/>
      <c r="I1119" s="40"/>
      <c r="J1119" s="39"/>
    </row>
    <row r="1120" spans="1:10" s="28" customFormat="1" ht="21" x14ac:dyDescent="0.35">
      <c r="A1120" s="1"/>
      <c r="B1120" s="2"/>
      <c r="C1120" s="2"/>
      <c r="D1120" s="2"/>
      <c r="E1120" s="2"/>
      <c r="F1120" s="2"/>
      <c r="G1120" s="2"/>
      <c r="H1120" s="2"/>
      <c r="I1120" s="40"/>
      <c r="J1120" s="39"/>
    </row>
    <row r="1121" spans="1:10" s="28" customFormat="1" ht="21" x14ac:dyDescent="0.35">
      <c r="A1121" s="1"/>
      <c r="B1121" s="2"/>
      <c r="C1121" s="2"/>
      <c r="D1121" s="2"/>
      <c r="E1121" s="2"/>
      <c r="F1121" s="2"/>
      <c r="G1121" s="2"/>
      <c r="H1121" s="2"/>
      <c r="I1121" s="40"/>
      <c r="J1121" s="39"/>
    </row>
    <row r="1122" spans="1:10" s="28" customFormat="1" ht="21" x14ac:dyDescent="0.35">
      <c r="A1122" s="1"/>
      <c r="B1122" s="2"/>
      <c r="C1122" s="2"/>
      <c r="D1122" s="2"/>
      <c r="E1122" s="2"/>
      <c r="F1122" s="2"/>
      <c r="G1122" s="2"/>
      <c r="H1122" s="2"/>
      <c r="I1122" s="40"/>
      <c r="J1122" s="39"/>
    </row>
    <row r="1123" spans="1:10" s="28" customFormat="1" ht="21" x14ac:dyDescent="0.35">
      <c r="A1123" s="1"/>
      <c r="B1123" s="2"/>
      <c r="C1123" s="2"/>
      <c r="D1123" s="2"/>
      <c r="E1123" s="2"/>
      <c r="F1123" s="2"/>
      <c r="G1123" s="2"/>
      <c r="H1123" s="2"/>
      <c r="I1123" s="40"/>
      <c r="J1123" s="39"/>
    </row>
    <row r="1124" spans="1:10" s="28" customFormat="1" ht="21" x14ac:dyDescent="0.35">
      <c r="A1124" s="1"/>
      <c r="B1124" s="2"/>
      <c r="C1124" s="2"/>
      <c r="D1124" s="2"/>
      <c r="E1124" s="2"/>
      <c r="F1124" s="2"/>
      <c r="G1124" s="2"/>
      <c r="H1124" s="2"/>
      <c r="I1124" s="40"/>
      <c r="J1124" s="39"/>
    </row>
    <row r="1125" spans="1:10" s="28" customFormat="1" ht="21" x14ac:dyDescent="0.35">
      <c r="A1125" s="1"/>
      <c r="B1125" s="2"/>
      <c r="C1125" s="2"/>
      <c r="D1125" s="2"/>
      <c r="E1125" s="2"/>
      <c r="F1125" s="2"/>
      <c r="G1125" s="2"/>
      <c r="H1125" s="2"/>
      <c r="I1125" s="40"/>
      <c r="J1125" s="39"/>
    </row>
    <row r="1126" spans="1:10" s="28" customFormat="1" ht="21" x14ac:dyDescent="0.35">
      <c r="A1126" s="1"/>
      <c r="B1126" s="2"/>
      <c r="C1126" s="2"/>
      <c r="D1126" s="2"/>
      <c r="E1126" s="2"/>
      <c r="F1126" s="2"/>
      <c r="G1126" s="2"/>
      <c r="H1126" s="2"/>
      <c r="I1126" s="40"/>
      <c r="J1126" s="39"/>
    </row>
    <row r="1127" spans="1:10" s="28" customFormat="1" ht="21" x14ac:dyDescent="0.35">
      <c r="A1127" s="1"/>
      <c r="B1127" s="2"/>
      <c r="C1127" s="2"/>
      <c r="D1127" s="2"/>
      <c r="E1127" s="2"/>
      <c r="F1127" s="2"/>
      <c r="G1127" s="2"/>
      <c r="H1127" s="2"/>
      <c r="I1127" s="40"/>
      <c r="J1127" s="39"/>
    </row>
    <row r="1128" spans="1:10" s="28" customFormat="1" ht="21" x14ac:dyDescent="0.35">
      <c r="A1128" s="1"/>
      <c r="B1128" s="2"/>
      <c r="C1128" s="2"/>
      <c r="D1128" s="2"/>
      <c r="E1128" s="2"/>
      <c r="F1128" s="2"/>
      <c r="G1128" s="2"/>
      <c r="H1128" s="2"/>
      <c r="I1128" s="40"/>
      <c r="J1128" s="39"/>
    </row>
    <row r="1129" spans="1:10" s="28" customFormat="1" ht="21" x14ac:dyDescent="0.35">
      <c r="A1129" s="1"/>
      <c r="B1129" s="2"/>
      <c r="C1129" s="2"/>
      <c r="D1129" s="2"/>
      <c r="E1129" s="2"/>
      <c r="F1129" s="2"/>
      <c r="G1129" s="2"/>
      <c r="H1129" s="2"/>
      <c r="I1129" s="40"/>
      <c r="J1129" s="39"/>
    </row>
    <row r="1130" spans="1:10" s="28" customFormat="1" ht="21" x14ac:dyDescent="0.35">
      <c r="A1130" s="1"/>
      <c r="B1130" s="2"/>
      <c r="C1130" s="2"/>
      <c r="D1130" s="2"/>
      <c r="E1130" s="2"/>
      <c r="F1130" s="2"/>
      <c r="G1130" s="2"/>
      <c r="H1130" s="2"/>
      <c r="I1130" s="40"/>
      <c r="J1130" s="39"/>
    </row>
    <row r="1131" spans="1:10" s="28" customFormat="1" ht="21" x14ac:dyDescent="0.35">
      <c r="A1131" s="1"/>
      <c r="B1131" s="2"/>
      <c r="C1131" s="2"/>
      <c r="D1131" s="2"/>
      <c r="E1131" s="2"/>
      <c r="F1131" s="2"/>
      <c r="G1131" s="2"/>
      <c r="H1131" s="2"/>
      <c r="I1131" s="40"/>
      <c r="J1131" s="39"/>
    </row>
    <row r="1132" spans="1:10" s="28" customFormat="1" ht="21" x14ac:dyDescent="0.35">
      <c r="A1132" s="1"/>
      <c r="B1132" s="2"/>
      <c r="C1132" s="2"/>
      <c r="D1132" s="2"/>
      <c r="E1132" s="2"/>
      <c r="F1132" s="2"/>
      <c r="G1132" s="2"/>
      <c r="H1132" s="2"/>
      <c r="I1132" s="40"/>
      <c r="J1132" s="39"/>
    </row>
    <row r="1133" spans="1:10" s="28" customFormat="1" ht="21" x14ac:dyDescent="0.35">
      <c r="A1133" s="1"/>
      <c r="B1133" s="2"/>
      <c r="C1133" s="2"/>
      <c r="D1133" s="2"/>
      <c r="E1133" s="2"/>
      <c r="F1133" s="2"/>
      <c r="G1133" s="2"/>
      <c r="H1133" s="2"/>
      <c r="I1133" s="40"/>
      <c r="J1133" s="39"/>
    </row>
    <row r="1134" spans="1:10" s="28" customFormat="1" ht="21" x14ac:dyDescent="0.35">
      <c r="A1134" s="1"/>
      <c r="B1134" s="2"/>
      <c r="C1134" s="2"/>
      <c r="D1134" s="2"/>
      <c r="E1134" s="2"/>
      <c r="F1134" s="2"/>
      <c r="G1134" s="2"/>
      <c r="H1134" s="2"/>
      <c r="I1134" s="40"/>
      <c r="J1134" s="39"/>
    </row>
    <row r="1135" spans="1:10" s="28" customFormat="1" ht="21" x14ac:dyDescent="0.35">
      <c r="A1135" s="1"/>
      <c r="B1135" s="2"/>
      <c r="C1135" s="2"/>
      <c r="D1135" s="2"/>
      <c r="E1135" s="2"/>
      <c r="F1135" s="2"/>
      <c r="G1135" s="2"/>
      <c r="H1135" s="2"/>
      <c r="I1135" s="40"/>
      <c r="J1135" s="39"/>
    </row>
    <row r="1136" spans="1:10" s="28" customFormat="1" ht="21" x14ac:dyDescent="0.35">
      <c r="A1136" s="1"/>
      <c r="B1136" s="2"/>
      <c r="C1136" s="2"/>
      <c r="D1136" s="2"/>
      <c r="E1136" s="2"/>
      <c r="F1136" s="2"/>
      <c r="G1136" s="2"/>
      <c r="H1136" s="2"/>
      <c r="I1136" s="40"/>
      <c r="J1136" s="39"/>
    </row>
    <row r="1137" spans="1:10" s="28" customFormat="1" ht="21" x14ac:dyDescent="0.35">
      <c r="A1137" s="1"/>
      <c r="B1137" s="2"/>
      <c r="C1137" s="2"/>
      <c r="D1137" s="2"/>
      <c r="E1137" s="2"/>
      <c r="F1137" s="2"/>
      <c r="G1137" s="2"/>
      <c r="H1137" s="2"/>
      <c r="I1137" s="40"/>
      <c r="J1137" s="39"/>
    </row>
    <row r="1138" spans="1:10" s="28" customFormat="1" ht="21" x14ac:dyDescent="0.35">
      <c r="A1138" s="1"/>
      <c r="B1138" s="2"/>
      <c r="C1138" s="2"/>
      <c r="D1138" s="2"/>
      <c r="E1138" s="2"/>
      <c r="F1138" s="2"/>
      <c r="G1138" s="2"/>
      <c r="H1138" s="2"/>
      <c r="I1138" s="40"/>
      <c r="J1138" s="39"/>
    </row>
    <row r="1139" spans="1:10" s="28" customFormat="1" ht="21" x14ac:dyDescent="0.35">
      <c r="A1139" s="1"/>
      <c r="B1139" s="2"/>
      <c r="C1139" s="2"/>
      <c r="D1139" s="2"/>
      <c r="E1139" s="2"/>
      <c r="F1139" s="2"/>
      <c r="G1139" s="2"/>
      <c r="H1139" s="2"/>
      <c r="I1139" s="40"/>
      <c r="J1139" s="39"/>
    </row>
    <row r="1140" spans="1:10" s="28" customFormat="1" ht="21" x14ac:dyDescent="0.35">
      <c r="A1140" s="1"/>
      <c r="B1140" s="2"/>
      <c r="C1140" s="2"/>
      <c r="D1140" s="2"/>
      <c r="E1140" s="2"/>
      <c r="F1140" s="2"/>
      <c r="G1140" s="2"/>
      <c r="H1140" s="2"/>
      <c r="I1140" s="40"/>
      <c r="J1140" s="39"/>
    </row>
    <row r="1141" spans="1:10" s="28" customFormat="1" ht="21" x14ac:dyDescent="0.35">
      <c r="A1141" s="1"/>
      <c r="B1141" s="2"/>
      <c r="C1141" s="2"/>
      <c r="D1141" s="2"/>
      <c r="E1141" s="2"/>
      <c r="F1141" s="2"/>
      <c r="G1141" s="2"/>
      <c r="H1141" s="2"/>
      <c r="I1141" s="40"/>
      <c r="J1141" s="39"/>
    </row>
    <row r="1142" spans="1:10" s="28" customFormat="1" ht="21" x14ac:dyDescent="0.35">
      <c r="A1142" s="1"/>
      <c r="B1142" s="2"/>
      <c r="C1142" s="2"/>
      <c r="D1142" s="2"/>
      <c r="E1142" s="2"/>
      <c r="F1142" s="2"/>
      <c r="G1142" s="2"/>
      <c r="H1142" s="2"/>
      <c r="I1142" s="40"/>
      <c r="J1142" s="39"/>
    </row>
    <row r="1143" spans="1:10" s="28" customFormat="1" ht="21" x14ac:dyDescent="0.35">
      <c r="A1143" s="1"/>
      <c r="B1143" s="2"/>
      <c r="C1143" s="2"/>
      <c r="D1143" s="2"/>
      <c r="E1143" s="2"/>
      <c r="F1143" s="2"/>
      <c r="G1143" s="2"/>
      <c r="H1143" s="2"/>
      <c r="I1143" s="40"/>
      <c r="J1143" s="39"/>
    </row>
    <row r="1144" spans="1:10" s="28" customFormat="1" ht="21" x14ac:dyDescent="0.35">
      <c r="A1144" s="1"/>
      <c r="B1144" s="2"/>
      <c r="C1144" s="2"/>
      <c r="D1144" s="2"/>
      <c r="E1144" s="2"/>
      <c r="F1144" s="2"/>
      <c r="G1144" s="2"/>
      <c r="H1144" s="2"/>
      <c r="I1144" s="40"/>
      <c r="J1144" s="39"/>
    </row>
    <row r="1145" spans="1:10" s="28" customFormat="1" ht="21" x14ac:dyDescent="0.35">
      <c r="A1145" s="1"/>
      <c r="B1145" s="2"/>
      <c r="C1145" s="2"/>
      <c r="D1145" s="2"/>
      <c r="E1145" s="2"/>
      <c r="F1145" s="2"/>
      <c r="G1145" s="2"/>
      <c r="H1145" s="2"/>
      <c r="I1145" s="40"/>
      <c r="J1145" s="39"/>
    </row>
    <row r="1146" spans="1:10" s="28" customFormat="1" ht="21" x14ac:dyDescent="0.35">
      <c r="A1146" s="1"/>
      <c r="B1146" s="2"/>
      <c r="C1146" s="2"/>
      <c r="D1146" s="2"/>
      <c r="E1146" s="2"/>
      <c r="F1146" s="2"/>
      <c r="G1146" s="2"/>
      <c r="H1146" s="2"/>
      <c r="I1146" s="40"/>
      <c r="J1146" s="39"/>
    </row>
    <row r="1147" spans="1:10" s="28" customFormat="1" ht="21" x14ac:dyDescent="0.35">
      <c r="A1147" s="1"/>
      <c r="B1147" s="2"/>
      <c r="C1147" s="2"/>
      <c r="D1147" s="2"/>
      <c r="E1147" s="2"/>
      <c r="F1147" s="2"/>
      <c r="G1147" s="2"/>
      <c r="H1147" s="2"/>
      <c r="I1147" s="40"/>
      <c r="J1147" s="39"/>
    </row>
    <row r="1148" spans="1:10" s="28" customFormat="1" ht="21" x14ac:dyDescent="0.35">
      <c r="A1148" s="1"/>
      <c r="B1148" s="2"/>
      <c r="C1148" s="2"/>
      <c r="D1148" s="2"/>
      <c r="E1148" s="2"/>
      <c r="F1148" s="2"/>
      <c r="G1148" s="2"/>
      <c r="H1148" s="2"/>
      <c r="I1148" s="40"/>
      <c r="J1148" s="39"/>
    </row>
    <row r="1149" spans="1:10" s="28" customFormat="1" ht="21" x14ac:dyDescent="0.35">
      <c r="A1149" s="1"/>
      <c r="B1149" s="2"/>
      <c r="C1149" s="2"/>
      <c r="D1149" s="2"/>
      <c r="E1149" s="2"/>
      <c r="F1149" s="2"/>
      <c r="G1149" s="2"/>
      <c r="H1149" s="2"/>
      <c r="I1149" s="40"/>
      <c r="J1149" s="39"/>
    </row>
    <row r="1150" spans="1:10" s="28" customFormat="1" ht="21" x14ac:dyDescent="0.35">
      <c r="A1150" s="1"/>
      <c r="B1150" s="2"/>
      <c r="C1150" s="2"/>
      <c r="D1150" s="2"/>
      <c r="E1150" s="2"/>
      <c r="F1150" s="2"/>
      <c r="G1150" s="2"/>
      <c r="H1150" s="2"/>
      <c r="I1150" s="40"/>
      <c r="J1150" s="39"/>
    </row>
    <row r="1151" spans="1:10" s="28" customFormat="1" ht="21" x14ac:dyDescent="0.35">
      <c r="A1151" s="1"/>
      <c r="B1151" s="2"/>
      <c r="C1151" s="2"/>
      <c r="D1151" s="2"/>
      <c r="E1151" s="2"/>
      <c r="F1151" s="2"/>
      <c r="G1151" s="2"/>
      <c r="H1151" s="2"/>
      <c r="I1151" s="40"/>
      <c r="J1151" s="39"/>
    </row>
    <row r="1152" spans="1:10" s="28" customFormat="1" ht="21" x14ac:dyDescent="0.35">
      <c r="A1152" s="1"/>
      <c r="B1152" s="2"/>
      <c r="C1152" s="2"/>
      <c r="D1152" s="2"/>
      <c r="E1152" s="2"/>
      <c r="F1152" s="2"/>
      <c r="G1152" s="2"/>
      <c r="H1152" s="2"/>
      <c r="I1152" s="40"/>
      <c r="J1152" s="39"/>
    </row>
    <row r="1153" spans="1:10" s="28" customFormat="1" ht="21" x14ac:dyDescent="0.35">
      <c r="A1153" s="1"/>
      <c r="B1153" s="2"/>
      <c r="C1153" s="2"/>
      <c r="D1153" s="2"/>
      <c r="E1153" s="2"/>
      <c r="F1153" s="2"/>
      <c r="G1153" s="2"/>
      <c r="H1153" s="2"/>
      <c r="I1153" s="40"/>
      <c r="J1153" s="39"/>
    </row>
    <row r="1154" spans="1:10" s="28" customFormat="1" ht="21" x14ac:dyDescent="0.35">
      <c r="A1154" s="1"/>
      <c r="B1154" s="2"/>
      <c r="C1154" s="2"/>
      <c r="D1154" s="2"/>
      <c r="E1154" s="2"/>
      <c r="F1154" s="2"/>
      <c r="G1154" s="2"/>
      <c r="H1154" s="2"/>
      <c r="I1154" s="40"/>
      <c r="J1154" s="39"/>
    </row>
    <row r="1155" spans="1:10" s="28" customFormat="1" ht="21" x14ac:dyDescent="0.35">
      <c r="A1155" s="1"/>
      <c r="B1155" s="2"/>
      <c r="C1155" s="2"/>
      <c r="D1155" s="2"/>
      <c r="E1155" s="2"/>
      <c r="F1155" s="2"/>
      <c r="G1155" s="2"/>
      <c r="H1155" s="2"/>
      <c r="I1155" s="40"/>
      <c r="J1155" s="39"/>
    </row>
    <row r="1156" spans="1:10" s="28" customFormat="1" ht="21" x14ac:dyDescent="0.35">
      <c r="A1156" s="1"/>
      <c r="B1156" s="2"/>
      <c r="C1156" s="2"/>
      <c r="D1156" s="2"/>
      <c r="E1156" s="2"/>
      <c r="F1156" s="2"/>
      <c r="G1156" s="2"/>
      <c r="H1156" s="2"/>
      <c r="I1156" s="40"/>
      <c r="J1156" s="39"/>
    </row>
    <row r="1157" spans="1:10" s="28" customFormat="1" ht="21" x14ac:dyDescent="0.35">
      <c r="A1157" s="1"/>
      <c r="B1157" s="2"/>
      <c r="C1157" s="2"/>
      <c r="D1157" s="2"/>
      <c r="E1157" s="2"/>
      <c r="F1157" s="2"/>
      <c r="G1157" s="2"/>
      <c r="H1157" s="2"/>
      <c r="I1157" s="40"/>
      <c r="J1157" s="39"/>
    </row>
    <row r="1158" spans="1:10" s="28" customFormat="1" ht="21" x14ac:dyDescent="0.35">
      <c r="A1158" s="1"/>
      <c r="B1158" s="2"/>
      <c r="C1158" s="2"/>
      <c r="D1158" s="2"/>
      <c r="E1158" s="2"/>
      <c r="F1158" s="2"/>
      <c r="G1158" s="2"/>
      <c r="H1158" s="2"/>
      <c r="I1158" s="40"/>
      <c r="J1158" s="39"/>
    </row>
    <row r="1159" spans="1:10" s="28" customFormat="1" ht="21" x14ac:dyDescent="0.35">
      <c r="A1159" s="1"/>
      <c r="B1159" s="2"/>
      <c r="C1159" s="2"/>
      <c r="D1159" s="2"/>
      <c r="E1159" s="2"/>
      <c r="F1159" s="2"/>
      <c r="G1159" s="2"/>
      <c r="H1159" s="2"/>
      <c r="I1159" s="40"/>
      <c r="J1159" s="39"/>
    </row>
    <row r="1160" spans="1:10" s="28" customFormat="1" ht="21" x14ac:dyDescent="0.35">
      <c r="A1160" s="1"/>
      <c r="B1160" s="2"/>
      <c r="C1160" s="2"/>
      <c r="D1160" s="2"/>
      <c r="E1160" s="2"/>
      <c r="F1160" s="2"/>
      <c r="G1160" s="2"/>
      <c r="H1160" s="2"/>
      <c r="I1160" s="40"/>
      <c r="J1160" s="39"/>
    </row>
    <row r="1161" spans="1:10" s="28" customFormat="1" ht="21" x14ac:dyDescent="0.35">
      <c r="A1161" s="1"/>
      <c r="B1161" s="2"/>
      <c r="C1161" s="2"/>
      <c r="D1161" s="2"/>
      <c r="E1161" s="2"/>
      <c r="F1161" s="2"/>
      <c r="G1161" s="2"/>
      <c r="H1161" s="2"/>
      <c r="I1161" s="40"/>
      <c r="J1161" s="39"/>
    </row>
    <row r="1162" spans="1:10" s="28" customFormat="1" ht="21" x14ac:dyDescent="0.35">
      <c r="A1162" s="1"/>
      <c r="B1162" s="2"/>
      <c r="C1162" s="2"/>
      <c r="D1162" s="2"/>
      <c r="E1162" s="2"/>
      <c r="F1162" s="2"/>
      <c r="G1162" s="2"/>
      <c r="H1162" s="2"/>
      <c r="I1162" s="40"/>
      <c r="J1162" s="39"/>
    </row>
    <row r="1163" spans="1:10" s="28" customFormat="1" ht="21" x14ac:dyDescent="0.35">
      <c r="A1163" s="1"/>
      <c r="B1163" s="2"/>
      <c r="C1163" s="2"/>
      <c r="D1163" s="2"/>
      <c r="E1163" s="2"/>
      <c r="F1163" s="2"/>
      <c r="G1163" s="2"/>
      <c r="H1163" s="2"/>
      <c r="I1163" s="40"/>
      <c r="J1163" s="39"/>
    </row>
    <row r="1164" spans="1:10" s="28" customFormat="1" ht="21" x14ac:dyDescent="0.35">
      <c r="A1164" s="1"/>
      <c r="B1164" s="2"/>
      <c r="C1164" s="2"/>
      <c r="D1164" s="2"/>
      <c r="E1164" s="2"/>
      <c r="F1164" s="2"/>
      <c r="G1164" s="2"/>
      <c r="H1164" s="2"/>
      <c r="I1164" s="40"/>
      <c r="J1164" s="39"/>
    </row>
    <row r="1165" spans="1:10" s="28" customFormat="1" ht="21" x14ac:dyDescent="0.35">
      <c r="A1165" s="1"/>
      <c r="B1165" s="2"/>
      <c r="C1165" s="2"/>
      <c r="D1165" s="2"/>
      <c r="E1165" s="2"/>
      <c r="F1165" s="2"/>
      <c r="G1165" s="2"/>
      <c r="H1165" s="2"/>
      <c r="I1165" s="40"/>
      <c r="J1165" s="39"/>
    </row>
    <row r="1166" spans="1:10" s="28" customFormat="1" ht="21" x14ac:dyDescent="0.35">
      <c r="A1166" s="1"/>
      <c r="B1166" s="2"/>
      <c r="C1166" s="2"/>
      <c r="D1166" s="2"/>
      <c r="E1166" s="2"/>
      <c r="F1166" s="2"/>
      <c r="G1166" s="2"/>
      <c r="H1166" s="2"/>
      <c r="I1166" s="40"/>
      <c r="J1166" s="39"/>
    </row>
    <row r="1167" spans="1:10" s="28" customFormat="1" ht="21" x14ac:dyDescent="0.35">
      <c r="A1167" s="1"/>
      <c r="B1167" s="2"/>
      <c r="C1167" s="2"/>
      <c r="D1167" s="2"/>
      <c r="E1167" s="2"/>
      <c r="F1167" s="2"/>
      <c r="G1167" s="2"/>
      <c r="H1167" s="2"/>
      <c r="I1167" s="40"/>
      <c r="J1167" s="39"/>
    </row>
    <row r="1168" spans="1:10" s="28" customFormat="1" ht="21" x14ac:dyDescent="0.35">
      <c r="A1168" s="1"/>
      <c r="B1168" s="2"/>
      <c r="C1168" s="2"/>
      <c r="D1168" s="2"/>
      <c r="E1168" s="2"/>
      <c r="F1168" s="2"/>
      <c r="G1168" s="2"/>
      <c r="H1168" s="2"/>
      <c r="I1168" s="40"/>
      <c r="J1168" s="39"/>
    </row>
    <row r="1169" spans="1:10" s="28" customFormat="1" ht="21" x14ac:dyDescent="0.35">
      <c r="A1169" s="1"/>
      <c r="B1169" s="2"/>
      <c r="C1169" s="2"/>
      <c r="D1169" s="2"/>
      <c r="E1169" s="2"/>
      <c r="F1169" s="2"/>
      <c r="G1169" s="2"/>
      <c r="H1169" s="2"/>
      <c r="I1169" s="40"/>
      <c r="J1169" s="39"/>
    </row>
    <row r="1170" spans="1:10" s="28" customFormat="1" ht="21" x14ac:dyDescent="0.35">
      <c r="A1170" s="1"/>
      <c r="B1170" s="2"/>
      <c r="C1170" s="2"/>
      <c r="D1170" s="2"/>
      <c r="E1170" s="2"/>
      <c r="F1170" s="2"/>
      <c r="G1170" s="2"/>
      <c r="H1170" s="2"/>
      <c r="I1170" s="40"/>
      <c r="J1170" s="39"/>
    </row>
    <row r="1171" spans="1:10" s="28" customFormat="1" ht="21" x14ac:dyDescent="0.35">
      <c r="A1171" s="1"/>
      <c r="B1171" s="2"/>
      <c r="C1171" s="2"/>
      <c r="D1171" s="2"/>
      <c r="E1171" s="2"/>
      <c r="F1171" s="2"/>
      <c r="G1171" s="2"/>
      <c r="H1171" s="2"/>
      <c r="I1171" s="40"/>
      <c r="J1171" s="39"/>
    </row>
    <row r="1172" spans="1:10" s="28" customFormat="1" ht="21" x14ac:dyDescent="0.35">
      <c r="A1172" s="1"/>
      <c r="B1172" s="2"/>
      <c r="C1172" s="2"/>
      <c r="D1172" s="2"/>
      <c r="E1172" s="2"/>
      <c r="F1172" s="2"/>
      <c r="G1172" s="2"/>
      <c r="H1172" s="2"/>
      <c r="I1172" s="40"/>
      <c r="J1172" s="39"/>
    </row>
    <row r="1173" spans="1:10" s="28" customFormat="1" ht="21" x14ac:dyDescent="0.35">
      <c r="A1173" s="1"/>
      <c r="B1173" s="2"/>
      <c r="C1173" s="2"/>
      <c r="D1173" s="2"/>
      <c r="E1173" s="2"/>
      <c r="F1173" s="2"/>
      <c r="G1173" s="2"/>
      <c r="H1173" s="2"/>
      <c r="I1173" s="40"/>
      <c r="J1173" s="39"/>
    </row>
    <row r="1174" spans="1:10" s="28" customFormat="1" ht="21" x14ac:dyDescent="0.35">
      <c r="A1174" s="1"/>
      <c r="B1174" s="2"/>
      <c r="C1174" s="2"/>
      <c r="D1174" s="2"/>
      <c r="E1174" s="2"/>
      <c r="F1174" s="2"/>
      <c r="G1174" s="2"/>
      <c r="H1174" s="2"/>
      <c r="I1174" s="40"/>
      <c r="J1174" s="39"/>
    </row>
    <row r="1175" spans="1:10" s="28" customFormat="1" ht="21" x14ac:dyDescent="0.35">
      <c r="A1175" s="1"/>
      <c r="B1175" s="2"/>
      <c r="C1175" s="2"/>
      <c r="D1175" s="2"/>
      <c r="E1175" s="2"/>
      <c r="F1175" s="2"/>
      <c r="G1175" s="2"/>
      <c r="H1175" s="2"/>
      <c r="I1175" s="40"/>
      <c r="J1175" s="39"/>
    </row>
    <row r="1176" spans="1:10" s="28" customFormat="1" ht="21" x14ac:dyDescent="0.35">
      <c r="A1176" s="1"/>
      <c r="B1176" s="2"/>
      <c r="C1176" s="2"/>
      <c r="D1176" s="2"/>
      <c r="E1176" s="2"/>
      <c r="F1176" s="2"/>
      <c r="G1176" s="2"/>
      <c r="H1176" s="2"/>
      <c r="I1176" s="40"/>
      <c r="J1176" s="39"/>
    </row>
    <row r="1177" spans="1:10" s="28" customFormat="1" ht="21" x14ac:dyDescent="0.35">
      <c r="A1177" s="1"/>
      <c r="B1177" s="2"/>
      <c r="C1177" s="2"/>
      <c r="D1177" s="2"/>
      <c r="E1177" s="2"/>
      <c r="F1177" s="2"/>
      <c r="G1177" s="2"/>
      <c r="H1177" s="2"/>
      <c r="I1177" s="40"/>
      <c r="J1177" s="39"/>
    </row>
    <row r="1178" spans="1:10" s="28" customFormat="1" ht="21" x14ac:dyDescent="0.35">
      <c r="A1178" s="1"/>
      <c r="B1178" s="2"/>
      <c r="C1178" s="2"/>
      <c r="D1178" s="2"/>
      <c r="E1178" s="2"/>
      <c r="F1178" s="2"/>
      <c r="G1178" s="2"/>
      <c r="H1178" s="2"/>
      <c r="I1178" s="40"/>
      <c r="J1178" s="39"/>
    </row>
    <row r="1179" spans="1:10" s="28" customFormat="1" ht="21" x14ac:dyDescent="0.35">
      <c r="A1179" s="1"/>
      <c r="B1179" s="2"/>
      <c r="C1179" s="2"/>
      <c r="D1179" s="2"/>
      <c r="E1179" s="2"/>
      <c r="F1179" s="2"/>
      <c r="G1179" s="2"/>
      <c r="H1179" s="2"/>
      <c r="I1179" s="40"/>
      <c r="J1179" s="39"/>
    </row>
    <row r="1180" spans="1:10" s="28" customFormat="1" ht="21" x14ac:dyDescent="0.35">
      <c r="A1180" s="1"/>
      <c r="B1180" s="2"/>
      <c r="C1180" s="2"/>
      <c r="D1180" s="2"/>
      <c r="E1180" s="2"/>
      <c r="F1180" s="2"/>
      <c r="G1180" s="2"/>
      <c r="H1180" s="2"/>
      <c r="I1180" s="40"/>
      <c r="J1180" s="39"/>
    </row>
    <row r="1181" spans="1:10" s="28" customFormat="1" ht="21" x14ac:dyDescent="0.35">
      <c r="A1181" s="1"/>
      <c r="B1181" s="2"/>
      <c r="C1181" s="2"/>
      <c r="D1181" s="2"/>
      <c r="E1181" s="2"/>
      <c r="F1181" s="2"/>
      <c r="G1181" s="2"/>
      <c r="H1181" s="2"/>
      <c r="I1181" s="40"/>
      <c r="J1181" s="39"/>
    </row>
    <row r="1182" spans="1:10" s="28" customFormat="1" ht="21" x14ac:dyDescent="0.35">
      <c r="A1182" s="1"/>
      <c r="B1182" s="2"/>
      <c r="C1182" s="2"/>
      <c r="D1182" s="2"/>
      <c r="E1182" s="2"/>
      <c r="F1182" s="2"/>
      <c r="G1182" s="2"/>
      <c r="H1182" s="2"/>
      <c r="I1182" s="40"/>
      <c r="J1182" s="39"/>
    </row>
    <row r="1183" spans="1:10" s="28" customFormat="1" ht="21" x14ac:dyDescent="0.35">
      <c r="A1183" s="1"/>
      <c r="B1183" s="2"/>
      <c r="C1183" s="2"/>
      <c r="D1183" s="2"/>
      <c r="E1183" s="2"/>
      <c r="F1183" s="2"/>
      <c r="G1183" s="2"/>
      <c r="H1183" s="2"/>
      <c r="I1183" s="40"/>
      <c r="J1183" s="39"/>
    </row>
    <row r="1184" spans="1:10" s="28" customFormat="1" ht="21" x14ac:dyDescent="0.35">
      <c r="A1184" s="1"/>
      <c r="B1184" s="2"/>
      <c r="C1184" s="2"/>
      <c r="D1184" s="2"/>
      <c r="E1184" s="2"/>
      <c r="F1184" s="2"/>
      <c r="G1184" s="2"/>
      <c r="H1184" s="2"/>
      <c r="I1184" s="40"/>
      <c r="J1184" s="39"/>
    </row>
    <row r="1185" spans="1:10" s="28" customFormat="1" ht="21" x14ac:dyDescent="0.35">
      <c r="A1185" s="1"/>
      <c r="B1185" s="2"/>
      <c r="C1185" s="2"/>
      <c r="D1185" s="2"/>
      <c r="E1185" s="2"/>
      <c r="F1185" s="2"/>
      <c r="G1185" s="2"/>
      <c r="H1185" s="2"/>
      <c r="I1185" s="40"/>
      <c r="J1185" s="39"/>
    </row>
    <row r="1186" spans="1:10" s="28" customFormat="1" ht="21" x14ac:dyDescent="0.35">
      <c r="A1186" s="1"/>
      <c r="B1186" s="2"/>
      <c r="C1186" s="2"/>
      <c r="D1186" s="2"/>
      <c r="E1186" s="2"/>
      <c r="F1186" s="2"/>
      <c r="G1186" s="2"/>
      <c r="H1186" s="2"/>
      <c r="I1186" s="40"/>
      <c r="J1186" s="39"/>
    </row>
    <row r="1187" spans="1:10" s="28" customFormat="1" ht="21" x14ac:dyDescent="0.35">
      <c r="A1187" s="1"/>
      <c r="B1187" s="2"/>
      <c r="C1187" s="2"/>
      <c r="D1187" s="2"/>
      <c r="E1187" s="2"/>
      <c r="F1187" s="2"/>
      <c r="G1187" s="2"/>
      <c r="H1187" s="2"/>
      <c r="I1187" s="40"/>
      <c r="J1187" s="39"/>
    </row>
    <row r="1188" spans="1:10" s="28" customFormat="1" ht="21" x14ac:dyDescent="0.35">
      <c r="A1188" s="1"/>
      <c r="B1188" s="2"/>
      <c r="C1188" s="2"/>
      <c r="D1188" s="2"/>
      <c r="E1188" s="2"/>
      <c r="F1188" s="2"/>
      <c r="G1188" s="2"/>
      <c r="H1188" s="2"/>
      <c r="I1188" s="40"/>
      <c r="J1188" s="39"/>
    </row>
    <row r="1189" spans="1:10" s="28" customFormat="1" ht="21" x14ac:dyDescent="0.35">
      <c r="A1189" s="1"/>
      <c r="B1189" s="2"/>
      <c r="C1189" s="2"/>
      <c r="D1189" s="2"/>
      <c r="E1189" s="2"/>
      <c r="F1189" s="2"/>
      <c r="G1189" s="2"/>
      <c r="H1189" s="2"/>
      <c r="I1189" s="40"/>
      <c r="J1189" s="39"/>
    </row>
    <row r="1190" spans="1:10" s="28" customFormat="1" ht="21" x14ac:dyDescent="0.35">
      <c r="A1190" s="1"/>
      <c r="B1190" s="2"/>
      <c r="C1190" s="2"/>
      <c r="D1190" s="2"/>
      <c r="E1190" s="2"/>
      <c r="F1190" s="2"/>
      <c r="G1190" s="2"/>
      <c r="H1190" s="2"/>
      <c r="I1190" s="40"/>
      <c r="J1190" s="39"/>
    </row>
    <row r="1191" spans="1:10" s="28" customFormat="1" ht="21" x14ac:dyDescent="0.35">
      <c r="A1191" s="1"/>
      <c r="B1191" s="2"/>
      <c r="C1191" s="2"/>
      <c r="D1191" s="2"/>
      <c r="E1191" s="2"/>
      <c r="F1191" s="2"/>
      <c r="G1191" s="2"/>
      <c r="H1191" s="2"/>
      <c r="I1191" s="40"/>
      <c r="J1191" s="39"/>
    </row>
    <row r="1192" spans="1:10" s="28" customFormat="1" ht="21" x14ac:dyDescent="0.35">
      <c r="A1192" s="1"/>
      <c r="B1192" s="2"/>
      <c r="C1192" s="2"/>
      <c r="D1192" s="2"/>
      <c r="E1192" s="2"/>
      <c r="F1192" s="2"/>
      <c r="G1192" s="2"/>
      <c r="H1192" s="2"/>
      <c r="I1192" s="40"/>
      <c r="J1192" s="39"/>
    </row>
    <row r="1193" spans="1:10" s="28" customFormat="1" ht="21" x14ac:dyDescent="0.35">
      <c r="A1193" s="1"/>
      <c r="B1193" s="2"/>
      <c r="C1193" s="2"/>
      <c r="D1193" s="2"/>
      <c r="E1193" s="2"/>
      <c r="F1193" s="2"/>
      <c r="G1193" s="2"/>
      <c r="H1193" s="2"/>
      <c r="I1193" s="40"/>
      <c r="J1193" s="39"/>
    </row>
    <row r="1194" spans="1:10" s="28" customFormat="1" ht="21" x14ac:dyDescent="0.35">
      <c r="A1194" s="1"/>
      <c r="B1194" s="2"/>
      <c r="C1194" s="2"/>
      <c r="D1194" s="2"/>
      <c r="E1194" s="2"/>
      <c r="F1194" s="2"/>
      <c r="G1194" s="2"/>
      <c r="H1194" s="2"/>
      <c r="I1194" s="40"/>
      <c r="J1194" s="39"/>
    </row>
    <row r="1195" spans="1:10" s="28" customFormat="1" ht="21" x14ac:dyDescent="0.35">
      <c r="A1195" s="1"/>
      <c r="B1195" s="2"/>
      <c r="C1195" s="2"/>
      <c r="D1195" s="2"/>
      <c r="E1195" s="2"/>
      <c r="F1195" s="2"/>
      <c r="G1195" s="2"/>
      <c r="H1195" s="2"/>
      <c r="I1195" s="40"/>
      <c r="J1195" s="39"/>
    </row>
    <row r="1196" spans="1:10" s="28" customFormat="1" ht="21" x14ac:dyDescent="0.35">
      <c r="A1196" s="1"/>
      <c r="B1196" s="2"/>
      <c r="C1196" s="2"/>
      <c r="D1196" s="2"/>
      <c r="E1196" s="2"/>
      <c r="F1196" s="2"/>
      <c r="G1196" s="2"/>
      <c r="H1196" s="2"/>
      <c r="I1196" s="40"/>
      <c r="J1196" s="39"/>
    </row>
    <row r="1197" spans="1:10" s="28" customFormat="1" ht="21" x14ac:dyDescent="0.35">
      <c r="A1197" s="1"/>
      <c r="B1197" s="2"/>
      <c r="C1197" s="2"/>
      <c r="D1197" s="2"/>
      <c r="E1197" s="2"/>
      <c r="F1197" s="2"/>
      <c r="G1197" s="2"/>
      <c r="H1197" s="2"/>
      <c r="I1197" s="40"/>
      <c r="J1197" s="39"/>
    </row>
    <row r="1198" spans="1:10" s="28" customFormat="1" ht="21" x14ac:dyDescent="0.35">
      <c r="A1198" s="1"/>
      <c r="B1198" s="2"/>
      <c r="C1198" s="2"/>
      <c r="D1198" s="2"/>
      <c r="E1198" s="2"/>
      <c r="F1198" s="2"/>
      <c r="G1198" s="2"/>
      <c r="H1198" s="2"/>
      <c r="I1198" s="40"/>
      <c r="J1198" s="39"/>
    </row>
    <row r="1199" spans="1:10" s="28" customFormat="1" ht="21" x14ac:dyDescent="0.35">
      <c r="A1199" s="1"/>
      <c r="B1199" s="2"/>
      <c r="C1199" s="2"/>
      <c r="D1199" s="2"/>
      <c r="E1199" s="2"/>
      <c r="F1199" s="2"/>
      <c r="G1199" s="2"/>
      <c r="H1199" s="2"/>
      <c r="I1199" s="40"/>
      <c r="J1199" s="39"/>
    </row>
    <row r="1200" spans="1:10" s="28" customFormat="1" ht="21" x14ac:dyDescent="0.35">
      <c r="A1200" s="1"/>
      <c r="B1200" s="2"/>
      <c r="C1200" s="2"/>
      <c r="D1200" s="2"/>
      <c r="E1200" s="2"/>
      <c r="F1200" s="2"/>
      <c r="G1200" s="2"/>
      <c r="H1200" s="2"/>
      <c r="I1200" s="40"/>
      <c r="J1200" s="39"/>
    </row>
    <row r="1201" spans="1:10" s="28" customFormat="1" ht="21" x14ac:dyDescent="0.35">
      <c r="A1201" s="1"/>
      <c r="B1201" s="2"/>
      <c r="C1201" s="2"/>
      <c r="D1201" s="2"/>
      <c r="E1201" s="2"/>
      <c r="F1201" s="2"/>
      <c r="G1201" s="2"/>
      <c r="H1201" s="2"/>
      <c r="I1201" s="40"/>
      <c r="J1201" s="39"/>
    </row>
    <row r="1202" spans="1:10" s="28" customFormat="1" ht="21" x14ac:dyDescent="0.35">
      <c r="A1202" s="1"/>
      <c r="B1202" s="2"/>
      <c r="C1202" s="2"/>
      <c r="D1202" s="2"/>
      <c r="E1202" s="2"/>
      <c r="F1202" s="2"/>
      <c r="G1202" s="2"/>
      <c r="H1202" s="2"/>
      <c r="I1202" s="40"/>
      <c r="J1202" s="39"/>
    </row>
    <row r="1203" spans="1:10" s="28" customFormat="1" ht="21" x14ac:dyDescent="0.35">
      <c r="A1203" s="1"/>
      <c r="B1203" s="2"/>
      <c r="C1203" s="2"/>
      <c r="D1203" s="2"/>
      <c r="E1203" s="2"/>
      <c r="F1203" s="2"/>
      <c r="G1203" s="2"/>
      <c r="H1203" s="2"/>
      <c r="I1203" s="40"/>
      <c r="J1203" s="39"/>
    </row>
    <row r="1204" spans="1:10" s="28" customFormat="1" ht="21" x14ac:dyDescent="0.35">
      <c r="A1204" s="1"/>
      <c r="B1204" s="2"/>
      <c r="C1204" s="2"/>
      <c r="D1204" s="2"/>
      <c r="E1204" s="2"/>
      <c r="F1204" s="2"/>
      <c r="G1204" s="2"/>
      <c r="H1204" s="2"/>
      <c r="I1204" s="40"/>
      <c r="J1204" s="39"/>
    </row>
    <row r="1205" spans="1:10" s="28" customFormat="1" ht="21" x14ac:dyDescent="0.35">
      <c r="A1205" s="1"/>
      <c r="B1205" s="2"/>
      <c r="C1205" s="2"/>
      <c r="D1205" s="2"/>
      <c r="E1205" s="2"/>
      <c r="F1205" s="2"/>
      <c r="G1205" s="2"/>
      <c r="H1205" s="2"/>
      <c r="I1205" s="40"/>
      <c r="J1205" s="39"/>
    </row>
    <row r="1206" spans="1:10" s="28" customFormat="1" ht="21" x14ac:dyDescent="0.35">
      <c r="A1206" s="1"/>
      <c r="B1206" s="2"/>
      <c r="C1206" s="2"/>
      <c r="D1206" s="2"/>
      <c r="E1206" s="2"/>
      <c r="F1206" s="2"/>
      <c r="G1206" s="2"/>
      <c r="H1206" s="2"/>
      <c r="I1206" s="40"/>
      <c r="J1206" s="39"/>
    </row>
    <row r="1207" spans="1:10" s="28" customFormat="1" ht="21" x14ac:dyDescent="0.35">
      <c r="A1207" s="1"/>
      <c r="B1207" s="2"/>
      <c r="C1207" s="2"/>
      <c r="D1207" s="2"/>
      <c r="E1207" s="2"/>
      <c r="F1207" s="2"/>
      <c r="G1207" s="2"/>
      <c r="H1207" s="2"/>
      <c r="I1207" s="40"/>
      <c r="J1207" s="39"/>
    </row>
    <row r="1208" spans="1:10" s="28" customFormat="1" ht="21" x14ac:dyDescent="0.35">
      <c r="A1208" s="1"/>
      <c r="B1208" s="2"/>
      <c r="C1208" s="2"/>
      <c r="D1208" s="2"/>
      <c r="E1208" s="2"/>
      <c r="F1208" s="2"/>
      <c r="G1208" s="2"/>
      <c r="H1208" s="2"/>
      <c r="I1208" s="40"/>
      <c r="J1208" s="39"/>
    </row>
    <row r="1209" spans="1:10" s="28" customFormat="1" ht="21" x14ac:dyDescent="0.35">
      <c r="A1209" s="1"/>
      <c r="B1209" s="2"/>
      <c r="C1209" s="2"/>
      <c r="D1209" s="2"/>
      <c r="E1209" s="2"/>
      <c r="F1209" s="2"/>
      <c r="G1209" s="2"/>
      <c r="H1209" s="2"/>
      <c r="I1209" s="40"/>
      <c r="J1209" s="39"/>
    </row>
    <row r="1210" spans="1:10" s="28" customFormat="1" ht="21" x14ac:dyDescent="0.35">
      <c r="A1210" s="1"/>
      <c r="B1210" s="2"/>
      <c r="C1210" s="2"/>
      <c r="D1210" s="2"/>
      <c r="E1210" s="2"/>
      <c r="F1210" s="2"/>
      <c r="G1210" s="2"/>
      <c r="H1210" s="2"/>
      <c r="I1210" s="40"/>
      <c r="J1210" s="39"/>
    </row>
    <row r="1211" spans="1:10" s="28" customFormat="1" ht="21" x14ac:dyDescent="0.35">
      <c r="A1211" s="1"/>
      <c r="B1211" s="2"/>
      <c r="C1211" s="2"/>
      <c r="D1211" s="2"/>
      <c r="E1211" s="2"/>
      <c r="F1211" s="2"/>
      <c r="G1211" s="2"/>
      <c r="H1211" s="2"/>
      <c r="I1211" s="40"/>
      <c r="J1211" s="39"/>
    </row>
    <row r="1212" spans="1:10" s="28" customFormat="1" ht="21" x14ac:dyDescent="0.35">
      <c r="A1212" s="1"/>
      <c r="B1212" s="2"/>
      <c r="C1212" s="2"/>
      <c r="D1212" s="2"/>
      <c r="E1212" s="2"/>
      <c r="F1212" s="2"/>
      <c r="G1212" s="2"/>
      <c r="H1212" s="2"/>
      <c r="I1212" s="40"/>
      <c r="J1212" s="39"/>
    </row>
    <row r="1213" spans="1:10" s="28" customFormat="1" ht="21" x14ac:dyDescent="0.35">
      <c r="A1213" s="1"/>
      <c r="B1213" s="2"/>
      <c r="C1213" s="2"/>
      <c r="D1213" s="2"/>
      <c r="E1213" s="2"/>
      <c r="F1213" s="2"/>
      <c r="G1213" s="2"/>
      <c r="H1213" s="2"/>
      <c r="I1213" s="40"/>
      <c r="J1213" s="39"/>
    </row>
    <row r="1214" spans="1:10" s="28" customFormat="1" ht="21" x14ac:dyDescent="0.35">
      <c r="A1214" s="1"/>
      <c r="B1214" s="2"/>
      <c r="C1214" s="2"/>
      <c r="D1214" s="2"/>
      <c r="E1214" s="2"/>
      <c r="F1214" s="2"/>
      <c r="G1214" s="2"/>
      <c r="H1214" s="2"/>
      <c r="I1214" s="40"/>
      <c r="J1214" s="39"/>
    </row>
    <row r="1215" spans="1:10" s="28" customFormat="1" ht="21" x14ac:dyDescent="0.35">
      <c r="A1215" s="1"/>
      <c r="B1215" s="2"/>
      <c r="C1215" s="2"/>
      <c r="D1215" s="2"/>
      <c r="E1215" s="2"/>
      <c r="F1215" s="2"/>
      <c r="G1215" s="2"/>
      <c r="H1215" s="2"/>
      <c r="I1215" s="40"/>
      <c r="J1215" s="39"/>
    </row>
    <row r="1216" spans="1:10" s="28" customFormat="1" ht="21" x14ac:dyDescent="0.35">
      <c r="A1216" s="1"/>
      <c r="B1216" s="2"/>
      <c r="C1216" s="2"/>
      <c r="D1216" s="2"/>
      <c r="E1216" s="2"/>
      <c r="F1216" s="2"/>
      <c r="G1216" s="2"/>
      <c r="H1216" s="2"/>
      <c r="I1216" s="40"/>
      <c r="J1216" s="39"/>
    </row>
    <row r="1217" spans="1:10" s="28" customFormat="1" ht="21" x14ac:dyDescent="0.35">
      <c r="A1217" s="1"/>
      <c r="B1217" s="2"/>
      <c r="C1217" s="2"/>
      <c r="D1217" s="2"/>
      <c r="E1217" s="2"/>
      <c r="F1217" s="2"/>
      <c r="G1217" s="2"/>
      <c r="H1217" s="2"/>
      <c r="I1217" s="40"/>
      <c r="J1217" s="39"/>
    </row>
    <row r="1218" spans="1:10" s="28" customFormat="1" ht="21" x14ac:dyDescent="0.35">
      <c r="A1218" s="1"/>
      <c r="B1218" s="2"/>
      <c r="C1218" s="2"/>
      <c r="D1218" s="2"/>
      <c r="E1218" s="2"/>
      <c r="F1218" s="2"/>
      <c r="G1218" s="2"/>
      <c r="H1218" s="2"/>
      <c r="I1218" s="40"/>
      <c r="J1218" s="39"/>
    </row>
    <row r="1219" spans="1:10" s="28" customFormat="1" ht="21" x14ac:dyDescent="0.35">
      <c r="A1219" s="1"/>
      <c r="B1219" s="2"/>
      <c r="C1219" s="2"/>
      <c r="D1219" s="2"/>
      <c r="E1219" s="2"/>
      <c r="F1219" s="2"/>
      <c r="G1219" s="2"/>
      <c r="H1219" s="2"/>
      <c r="I1219" s="40"/>
      <c r="J1219" s="39"/>
    </row>
    <row r="1220" spans="1:10" s="28" customFormat="1" ht="21" x14ac:dyDescent="0.35">
      <c r="A1220" s="1"/>
      <c r="B1220" s="2"/>
      <c r="C1220" s="2"/>
      <c r="D1220" s="2"/>
      <c r="E1220" s="2"/>
      <c r="F1220" s="2"/>
      <c r="G1220" s="2"/>
      <c r="H1220" s="2"/>
      <c r="I1220" s="40"/>
      <c r="J1220" s="39"/>
    </row>
    <row r="1221" spans="1:10" s="28" customFormat="1" ht="21" x14ac:dyDescent="0.35">
      <c r="A1221" s="1"/>
      <c r="B1221" s="2"/>
      <c r="C1221" s="2"/>
      <c r="D1221" s="2"/>
      <c r="E1221" s="2"/>
      <c r="F1221" s="2"/>
      <c r="G1221" s="2"/>
      <c r="H1221" s="2"/>
      <c r="I1221" s="40"/>
      <c r="J1221" s="39"/>
    </row>
    <row r="1222" spans="1:10" s="28" customFormat="1" ht="21" x14ac:dyDescent="0.35">
      <c r="A1222" s="1"/>
      <c r="B1222" s="2"/>
      <c r="C1222" s="2"/>
      <c r="D1222" s="2"/>
      <c r="E1222" s="2"/>
      <c r="F1222" s="2"/>
      <c r="G1222" s="2"/>
      <c r="H1222" s="2"/>
      <c r="I1222" s="40"/>
      <c r="J1222" s="39"/>
    </row>
    <row r="1223" spans="1:10" s="28" customFormat="1" ht="21" x14ac:dyDescent="0.35">
      <c r="A1223" s="1"/>
      <c r="B1223" s="2"/>
      <c r="C1223" s="2"/>
      <c r="D1223" s="2"/>
      <c r="E1223" s="2"/>
      <c r="F1223" s="2"/>
      <c r="G1223" s="2"/>
      <c r="H1223" s="2"/>
      <c r="I1223" s="40"/>
      <c r="J1223" s="39"/>
    </row>
    <row r="1224" spans="1:10" s="28" customFormat="1" ht="21" x14ac:dyDescent="0.35">
      <c r="A1224" s="1"/>
      <c r="B1224" s="2"/>
      <c r="C1224" s="2"/>
      <c r="D1224" s="2"/>
      <c r="E1224" s="2"/>
      <c r="F1224" s="2"/>
      <c r="G1224" s="2"/>
      <c r="H1224" s="2"/>
      <c r="I1224" s="40"/>
      <c r="J1224" s="39"/>
    </row>
    <row r="1225" spans="1:10" s="28" customFormat="1" ht="21" x14ac:dyDescent="0.35">
      <c r="A1225" s="1"/>
      <c r="B1225" s="2"/>
      <c r="C1225" s="2"/>
      <c r="D1225" s="2"/>
      <c r="E1225" s="2"/>
      <c r="F1225" s="2"/>
      <c r="G1225" s="2"/>
      <c r="H1225" s="2"/>
      <c r="I1225" s="40"/>
      <c r="J1225" s="39"/>
    </row>
    <row r="1226" spans="1:10" s="28" customFormat="1" ht="21" x14ac:dyDescent="0.35">
      <c r="A1226" s="1"/>
      <c r="B1226" s="2"/>
      <c r="C1226" s="2"/>
      <c r="D1226" s="2"/>
      <c r="E1226" s="2"/>
      <c r="F1226" s="2"/>
      <c r="G1226" s="2"/>
      <c r="H1226" s="2"/>
      <c r="I1226" s="40"/>
      <c r="J1226" s="39"/>
    </row>
    <row r="1227" spans="1:10" s="28" customFormat="1" ht="21" x14ac:dyDescent="0.35">
      <c r="A1227" s="1"/>
      <c r="B1227" s="2"/>
      <c r="C1227" s="2"/>
      <c r="D1227" s="2"/>
      <c r="E1227" s="2"/>
      <c r="F1227" s="2"/>
      <c r="G1227" s="2"/>
      <c r="H1227" s="2"/>
      <c r="I1227" s="40"/>
      <c r="J1227" s="39"/>
    </row>
    <row r="1228" spans="1:10" s="28" customFormat="1" ht="21" x14ac:dyDescent="0.35">
      <c r="A1228" s="1"/>
      <c r="B1228" s="2"/>
      <c r="C1228" s="2"/>
      <c r="D1228" s="2"/>
      <c r="E1228" s="2"/>
      <c r="F1228" s="2"/>
      <c r="G1228" s="2"/>
      <c r="H1228" s="2"/>
      <c r="I1228" s="40"/>
      <c r="J1228" s="39"/>
    </row>
    <row r="1229" spans="1:10" s="28" customFormat="1" ht="21" x14ac:dyDescent="0.35">
      <c r="A1229" s="1"/>
      <c r="B1229" s="2"/>
      <c r="C1229" s="2"/>
      <c r="D1229" s="2"/>
      <c r="E1229" s="2"/>
      <c r="F1229" s="2"/>
      <c r="G1229" s="2"/>
      <c r="H1229" s="2"/>
      <c r="I1229" s="40"/>
      <c r="J1229" s="39"/>
    </row>
    <row r="1230" spans="1:10" s="28" customFormat="1" ht="21" x14ac:dyDescent="0.35">
      <c r="A1230" s="1"/>
      <c r="B1230" s="2"/>
      <c r="C1230" s="2"/>
      <c r="D1230" s="2"/>
      <c r="E1230" s="2"/>
      <c r="F1230" s="2"/>
      <c r="G1230" s="2"/>
      <c r="H1230" s="2"/>
      <c r="I1230" s="40"/>
      <c r="J1230" s="39"/>
    </row>
    <row r="1231" spans="1:10" s="28" customFormat="1" ht="21" x14ac:dyDescent="0.35">
      <c r="A1231" s="1"/>
      <c r="B1231" s="2"/>
      <c r="C1231" s="2"/>
      <c r="D1231" s="2"/>
      <c r="E1231" s="2"/>
      <c r="F1231" s="2"/>
      <c r="G1231" s="2"/>
      <c r="H1231" s="2"/>
      <c r="I1231" s="40"/>
      <c r="J1231" s="39"/>
    </row>
    <row r="1232" spans="1:10" s="28" customFormat="1" ht="21" x14ac:dyDescent="0.35">
      <c r="A1232" s="1"/>
      <c r="B1232" s="2"/>
      <c r="C1232" s="2"/>
      <c r="D1232" s="2"/>
      <c r="E1232" s="2"/>
      <c r="F1232" s="2"/>
      <c r="G1232" s="2"/>
      <c r="H1232" s="2"/>
      <c r="I1232" s="40"/>
      <c r="J1232" s="39"/>
    </row>
    <row r="1233" spans="1:10" s="28" customFormat="1" ht="21" x14ac:dyDescent="0.35">
      <c r="A1233" s="1"/>
      <c r="B1233" s="2"/>
      <c r="C1233" s="2"/>
      <c r="D1233" s="2"/>
      <c r="E1233" s="2"/>
      <c r="F1233" s="2"/>
      <c r="G1233" s="2"/>
      <c r="H1233" s="2"/>
      <c r="I1233" s="40"/>
      <c r="J1233" s="39"/>
    </row>
    <row r="1234" spans="1:10" s="28" customFormat="1" ht="21" x14ac:dyDescent="0.35">
      <c r="A1234" s="1"/>
      <c r="B1234" s="2"/>
      <c r="C1234" s="2"/>
      <c r="D1234" s="2"/>
      <c r="E1234" s="2"/>
      <c r="F1234" s="2"/>
      <c r="G1234" s="2"/>
      <c r="H1234" s="2"/>
      <c r="I1234" s="40"/>
      <c r="J1234" s="39"/>
    </row>
    <row r="1235" spans="1:10" s="28" customFormat="1" ht="21" x14ac:dyDescent="0.35">
      <c r="A1235" s="1"/>
      <c r="B1235" s="2"/>
      <c r="C1235" s="2"/>
      <c r="D1235" s="2"/>
      <c r="E1235" s="2"/>
      <c r="F1235" s="2"/>
      <c r="G1235" s="2"/>
      <c r="H1235" s="2"/>
      <c r="I1235" s="40"/>
      <c r="J1235" s="39"/>
    </row>
    <row r="1236" spans="1:10" s="28" customFormat="1" ht="21" x14ac:dyDescent="0.35">
      <c r="A1236" s="1"/>
      <c r="B1236" s="2"/>
      <c r="C1236" s="2"/>
      <c r="D1236" s="2"/>
      <c r="E1236" s="2"/>
      <c r="F1236" s="2"/>
      <c r="G1236" s="2"/>
      <c r="H1236" s="2"/>
      <c r="I1236" s="40"/>
      <c r="J1236" s="39"/>
    </row>
    <row r="1237" spans="1:10" s="28" customFormat="1" ht="21" x14ac:dyDescent="0.35">
      <c r="A1237" s="1"/>
      <c r="B1237" s="2"/>
      <c r="C1237" s="2"/>
      <c r="D1237" s="2"/>
      <c r="E1237" s="2"/>
      <c r="F1237" s="2"/>
      <c r="G1237" s="2"/>
      <c r="H1237" s="2"/>
      <c r="I1237" s="40"/>
      <c r="J1237" s="39"/>
    </row>
    <row r="1238" spans="1:10" s="28" customFormat="1" ht="21" x14ac:dyDescent="0.35">
      <c r="A1238" s="1"/>
      <c r="B1238" s="2"/>
      <c r="C1238" s="2"/>
      <c r="D1238" s="2"/>
      <c r="E1238" s="2"/>
      <c r="F1238" s="2"/>
      <c r="G1238" s="2"/>
      <c r="H1238" s="2"/>
      <c r="I1238" s="40"/>
      <c r="J1238" s="39"/>
    </row>
    <row r="1239" spans="1:10" s="28" customFormat="1" ht="21" x14ac:dyDescent="0.35">
      <c r="A1239" s="1"/>
      <c r="B1239" s="2"/>
      <c r="C1239" s="2"/>
      <c r="D1239" s="2"/>
      <c r="E1239" s="2"/>
      <c r="F1239" s="2"/>
      <c r="G1239" s="2"/>
      <c r="H1239" s="2"/>
      <c r="I1239" s="40"/>
      <c r="J1239" s="39"/>
    </row>
    <row r="1240" spans="1:10" s="28" customFormat="1" ht="21" x14ac:dyDescent="0.35">
      <c r="A1240" s="1"/>
      <c r="B1240" s="2"/>
      <c r="C1240" s="2"/>
      <c r="D1240" s="2"/>
      <c r="E1240" s="2"/>
      <c r="F1240" s="2"/>
      <c r="G1240" s="2"/>
      <c r="H1240" s="2"/>
      <c r="I1240" s="40"/>
      <c r="J1240" s="39"/>
    </row>
    <row r="1241" spans="1:10" s="28" customFormat="1" ht="21" x14ac:dyDescent="0.35">
      <c r="A1241" s="1"/>
      <c r="B1241" s="2"/>
      <c r="C1241" s="2"/>
      <c r="D1241" s="2"/>
      <c r="E1241" s="2"/>
      <c r="F1241" s="2"/>
      <c r="G1241" s="2"/>
      <c r="H1241" s="2"/>
      <c r="I1241" s="40"/>
      <c r="J1241" s="39"/>
    </row>
    <row r="1242" spans="1:10" s="28" customFormat="1" ht="21" x14ac:dyDescent="0.35">
      <c r="A1242" s="1"/>
      <c r="B1242" s="2"/>
      <c r="C1242" s="2"/>
      <c r="D1242" s="2"/>
      <c r="E1242" s="2"/>
      <c r="F1242" s="2"/>
      <c r="G1242" s="2"/>
      <c r="H1242" s="2"/>
      <c r="I1242" s="40"/>
      <c r="J1242" s="39"/>
    </row>
    <row r="1243" spans="1:10" s="28" customFormat="1" ht="21" x14ac:dyDescent="0.35">
      <c r="A1243" s="1"/>
      <c r="B1243" s="2"/>
      <c r="C1243" s="2"/>
      <c r="D1243" s="2"/>
      <c r="E1243" s="2"/>
      <c r="F1243" s="2"/>
      <c r="G1243" s="2"/>
      <c r="H1243" s="2"/>
      <c r="I1243" s="40"/>
      <c r="J1243" s="39"/>
    </row>
    <row r="1244" spans="1:10" s="28" customFormat="1" ht="21" x14ac:dyDescent="0.35">
      <c r="A1244" s="1"/>
      <c r="B1244" s="2"/>
      <c r="C1244" s="2"/>
      <c r="D1244" s="2"/>
      <c r="E1244" s="2"/>
      <c r="F1244" s="2"/>
      <c r="G1244" s="2"/>
      <c r="H1244" s="2"/>
      <c r="I1244" s="40"/>
      <c r="J1244" s="39"/>
    </row>
    <row r="1245" spans="1:10" s="28" customFormat="1" ht="21" x14ac:dyDescent="0.35">
      <c r="A1245" s="1"/>
      <c r="B1245" s="2"/>
      <c r="C1245" s="2"/>
      <c r="D1245" s="2"/>
      <c r="E1245" s="2"/>
      <c r="F1245" s="2"/>
      <c r="G1245" s="2"/>
      <c r="H1245" s="2"/>
      <c r="I1245" s="40"/>
      <c r="J1245" s="39"/>
    </row>
    <row r="1246" spans="1:10" s="28" customFormat="1" ht="21" x14ac:dyDescent="0.35">
      <c r="A1246" s="1"/>
      <c r="B1246" s="2"/>
      <c r="C1246" s="2"/>
      <c r="D1246" s="2"/>
      <c r="E1246" s="2"/>
      <c r="F1246" s="2"/>
      <c r="G1246" s="2"/>
      <c r="H1246" s="2"/>
      <c r="I1246" s="40"/>
      <c r="J1246" s="39"/>
    </row>
    <row r="1247" spans="1:10" s="28" customFormat="1" ht="21" x14ac:dyDescent="0.35">
      <c r="A1247" s="1"/>
      <c r="B1247" s="2"/>
      <c r="C1247" s="2"/>
      <c r="D1247" s="2"/>
      <c r="E1247" s="2"/>
      <c r="F1247" s="2"/>
      <c r="G1247" s="2"/>
      <c r="H1247" s="2"/>
      <c r="I1247" s="40"/>
      <c r="J1247" s="39"/>
    </row>
    <row r="1248" spans="1:10" s="28" customFormat="1" ht="21" x14ac:dyDescent="0.35">
      <c r="A1248" s="1"/>
      <c r="B1248" s="2"/>
      <c r="C1248" s="2"/>
      <c r="D1248" s="2"/>
      <c r="E1248" s="2"/>
      <c r="F1248" s="2"/>
      <c r="G1248" s="2"/>
      <c r="H1248" s="2"/>
      <c r="I1248" s="40"/>
      <c r="J1248" s="39"/>
    </row>
    <row r="1249" spans="1:10" s="28" customFormat="1" ht="21" x14ac:dyDescent="0.35">
      <c r="A1249" s="1"/>
      <c r="B1249" s="2"/>
      <c r="C1249" s="2"/>
      <c r="D1249" s="2"/>
      <c r="E1249" s="2"/>
      <c r="F1249" s="2"/>
      <c r="G1249" s="2"/>
      <c r="H1249" s="2"/>
      <c r="I1249" s="40"/>
      <c r="J1249" s="39"/>
    </row>
    <row r="1250" spans="1:10" s="28" customFormat="1" ht="21" x14ac:dyDescent="0.35">
      <c r="A1250" s="1"/>
      <c r="B1250" s="2"/>
      <c r="C1250" s="2"/>
      <c r="D1250" s="2"/>
      <c r="E1250" s="2"/>
      <c r="F1250" s="2"/>
      <c r="G1250" s="2"/>
      <c r="H1250" s="2"/>
      <c r="I1250" s="40"/>
      <c r="J1250" s="39"/>
    </row>
    <row r="1251" spans="1:10" s="28" customFormat="1" ht="21" x14ac:dyDescent="0.35">
      <c r="A1251" s="1"/>
      <c r="B1251" s="2"/>
      <c r="C1251" s="2"/>
      <c r="D1251" s="2"/>
      <c r="E1251" s="2"/>
      <c r="F1251" s="2"/>
      <c r="G1251" s="2"/>
      <c r="H1251" s="2"/>
      <c r="I1251" s="40"/>
      <c r="J1251" s="39"/>
    </row>
    <row r="1252" spans="1:10" s="28" customFormat="1" ht="21" x14ac:dyDescent="0.35">
      <c r="A1252" s="1"/>
      <c r="B1252" s="2"/>
      <c r="C1252" s="2"/>
      <c r="D1252" s="2"/>
      <c r="E1252" s="2"/>
      <c r="F1252" s="2"/>
      <c r="G1252" s="2"/>
      <c r="H1252" s="2"/>
      <c r="I1252" s="40"/>
      <c r="J1252" s="39"/>
    </row>
    <row r="1253" spans="1:10" s="28" customFormat="1" ht="21" x14ac:dyDescent="0.35">
      <c r="A1253" s="1"/>
      <c r="B1253" s="2"/>
      <c r="C1253" s="2"/>
      <c r="D1253" s="2"/>
      <c r="E1253" s="2"/>
      <c r="F1253" s="2"/>
      <c r="G1253" s="2"/>
      <c r="H1253" s="2"/>
      <c r="I1253" s="40"/>
      <c r="J1253" s="39"/>
    </row>
    <row r="1254" spans="1:10" s="28" customFormat="1" ht="21" x14ac:dyDescent="0.35">
      <c r="A1254" s="1"/>
      <c r="B1254" s="2"/>
      <c r="C1254" s="2"/>
      <c r="D1254" s="2"/>
      <c r="E1254" s="2"/>
      <c r="F1254" s="2"/>
      <c r="G1254" s="2"/>
      <c r="H1254" s="2"/>
      <c r="I1254" s="40"/>
      <c r="J1254" s="39"/>
    </row>
    <row r="1255" spans="1:10" s="28" customFormat="1" ht="21" x14ac:dyDescent="0.35">
      <c r="A1255" s="1"/>
      <c r="B1255" s="2"/>
      <c r="C1255" s="2"/>
      <c r="D1255" s="2"/>
      <c r="E1255" s="2"/>
      <c r="F1255" s="2"/>
      <c r="G1255" s="2"/>
      <c r="H1255" s="2"/>
      <c r="I1255" s="40"/>
      <c r="J1255" s="39"/>
    </row>
    <row r="1256" spans="1:10" s="28" customFormat="1" ht="21" x14ac:dyDescent="0.35">
      <c r="A1256" s="1"/>
      <c r="B1256" s="2"/>
      <c r="C1256" s="2"/>
      <c r="D1256" s="2"/>
      <c r="E1256" s="2"/>
      <c r="F1256" s="2"/>
      <c r="G1256" s="2"/>
      <c r="H1256" s="2"/>
      <c r="I1256" s="40"/>
      <c r="J1256" s="39"/>
    </row>
    <row r="1257" spans="1:10" s="28" customFormat="1" ht="21" x14ac:dyDescent="0.35">
      <c r="A1257" s="1"/>
      <c r="B1257" s="2"/>
      <c r="C1257" s="2"/>
      <c r="D1257" s="2"/>
      <c r="E1257" s="2"/>
      <c r="F1257" s="2"/>
      <c r="G1257" s="2"/>
      <c r="H1257" s="2"/>
      <c r="I1257" s="40"/>
      <c r="J1257" s="39"/>
    </row>
    <row r="1258" spans="1:10" s="28" customFormat="1" ht="21" x14ac:dyDescent="0.35">
      <c r="A1258" s="1"/>
      <c r="B1258" s="2"/>
      <c r="C1258" s="2"/>
      <c r="D1258" s="2"/>
      <c r="E1258" s="2"/>
      <c r="F1258" s="2"/>
      <c r="G1258" s="2"/>
      <c r="H1258" s="2"/>
      <c r="I1258" s="40"/>
      <c r="J1258" s="39"/>
    </row>
    <row r="1259" spans="1:10" s="28" customFormat="1" ht="21" x14ac:dyDescent="0.35">
      <c r="A1259" s="1"/>
      <c r="B1259" s="2"/>
      <c r="C1259" s="2"/>
      <c r="D1259" s="2"/>
      <c r="E1259" s="2"/>
      <c r="F1259" s="2"/>
      <c r="G1259" s="2"/>
      <c r="H1259" s="2"/>
      <c r="I1259" s="40"/>
      <c r="J1259" s="39"/>
    </row>
    <row r="1260" spans="1:10" s="28" customFormat="1" ht="21" x14ac:dyDescent="0.35">
      <c r="A1260" s="1"/>
      <c r="B1260" s="2"/>
      <c r="C1260" s="2"/>
      <c r="D1260" s="2"/>
      <c r="E1260" s="2"/>
      <c r="F1260" s="2"/>
      <c r="G1260" s="2"/>
      <c r="H1260" s="2"/>
      <c r="I1260" s="40"/>
      <c r="J1260" s="39"/>
    </row>
    <row r="1261" spans="1:10" s="28" customFormat="1" ht="21" x14ac:dyDescent="0.35">
      <c r="A1261" s="1"/>
      <c r="B1261" s="2"/>
      <c r="C1261" s="2"/>
      <c r="D1261" s="2"/>
      <c r="E1261" s="2"/>
      <c r="F1261" s="2"/>
      <c r="G1261" s="2"/>
      <c r="H1261" s="2"/>
      <c r="I1261" s="40"/>
      <c r="J1261" s="39"/>
    </row>
    <row r="1262" spans="1:10" s="28" customFormat="1" ht="21" x14ac:dyDescent="0.35">
      <c r="A1262" s="1"/>
      <c r="B1262" s="2"/>
      <c r="C1262" s="2"/>
      <c r="D1262" s="2"/>
      <c r="E1262" s="2"/>
      <c r="F1262" s="2"/>
      <c r="G1262" s="2"/>
      <c r="H1262" s="2"/>
      <c r="I1262" s="40"/>
      <c r="J1262" s="39"/>
    </row>
    <row r="1263" spans="1:10" s="28" customFormat="1" ht="21" x14ac:dyDescent="0.35">
      <c r="A1263" s="1"/>
      <c r="B1263" s="2"/>
      <c r="C1263" s="2"/>
      <c r="D1263" s="2"/>
      <c r="E1263" s="2"/>
      <c r="F1263" s="2"/>
      <c r="G1263" s="2"/>
      <c r="H1263" s="2"/>
      <c r="I1263" s="40"/>
      <c r="J1263" s="39"/>
    </row>
    <row r="1264" spans="1:10" s="28" customFormat="1" ht="21" x14ac:dyDescent="0.35">
      <c r="A1264" s="1"/>
      <c r="B1264" s="2"/>
      <c r="C1264" s="2"/>
      <c r="D1264" s="2"/>
      <c r="E1264" s="2"/>
      <c r="F1264" s="2"/>
      <c r="G1264" s="2"/>
      <c r="H1264" s="2"/>
      <c r="I1264" s="40"/>
      <c r="J1264" s="39"/>
    </row>
    <row r="1265" spans="1:10" s="28" customFormat="1" ht="21" x14ac:dyDescent="0.35">
      <c r="A1265" s="1"/>
      <c r="B1265" s="2"/>
      <c r="C1265" s="2"/>
      <c r="D1265" s="2"/>
      <c r="E1265" s="2"/>
      <c r="F1265" s="2"/>
      <c r="G1265" s="2"/>
      <c r="H1265" s="2"/>
      <c r="I1265" s="40"/>
      <c r="J1265" s="39"/>
    </row>
    <row r="1266" spans="1:10" s="28" customFormat="1" ht="21" x14ac:dyDescent="0.35">
      <c r="A1266" s="1"/>
      <c r="B1266" s="2"/>
      <c r="C1266" s="2"/>
      <c r="D1266" s="2"/>
      <c r="E1266" s="2"/>
      <c r="F1266" s="2"/>
      <c r="G1266" s="2"/>
      <c r="H1266" s="2"/>
      <c r="I1266" s="40"/>
      <c r="J1266" s="39"/>
    </row>
    <row r="1267" spans="1:10" s="28" customFormat="1" ht="21" x14ac:dyDescent="0.35">
      <c r="A1267" s="1"/>
      <c r="B1267" s="2"/>
      <c r="C1267" s="2"/>
      <c r="D1267" s="2"/>
      <c r="E1267" s="2"/>
      <c r="F1267" s="2"/>
      <c r="G1267" s="2"/>
      <c r="H1267" s="2"/>
      <c r="I1267" s="40"/>
      <c r="J1267" s="39"/>
    </row>
    <row r="1268" spans="1:10" s="28" customFormat="1" ht="21" x14ac:dyDescent="0.35">
      <c r="A1268" s="1"/>
      <c r="B1268" s="2"/>
      <c r="C1268" s="2"/>
      <c r="D1268" s="2"/>
      <c r="E1268" s="2"/>
      <c r="F1268" s="2"/>
      <c r="G1268" s="2"/>
      <c r="H1268" s="2"/>
      <c r="I1268" s="40"/>
      <c r="J1268" s="39"/>
    </row>
    <row r="1269" spans="1:10" s="28" customFormat="1" ht="21" x14ac:dyDescent="0.35">
      <c r="A1269" s="1"/>
      <c r="B1269" s="2"/>
      <c r="C1269" s="2"/>
      <c r="D1269" s="2"/>
      <c r="E1269" s="2"/>
      <c r="F1269" s="2"/>
      <c r="G1269" s="2"/>
      <c r="H1269" s="2"/>
      <c r="I1269" s="40"/>
      <c r="J1269" s="39"/>
    </row>
    <row r="1270" spans="1:10" s="28" customFormat="1" ht="21" x14ac:dyDescent="0.35">
      <c r="A1270" s="1"/>
      <c r="B1270" s="2"/>
      <c r="C1270" s="2"/>
      <c r="D1270" s="2"/>
      <c r="E1270" s="2"/>
      <c r="F1270" s="2"/>
      <c r="G1270" s="2"/>
      <c r="H1270" s="2"/>
      <c r="I1270" s="40"/>
      <c r="J1270" s="39"/>
    </row>
    <row r="1271" spans="1:10" s="28" customFormat="1" ht="21" x14ac:dyDescent="0.35">
      <c r="A1271" s="1"/>
      <c r="B1271" s="2"/>
      <c r="C1271" s="2"/>
      <c r="D1271" s="2"/>
      <c r="E1271" s="2"/>
      <c r="F1271" s="2"/>
      <c r="G1271" s="2"/>
      <c r="H1271" s="2"/>
      <c r="I1271" s="40"/>
      <c r="J1271" s="39"/>
    </row>
    <row r="1272" spans="1:10" s="28" customFormat="1" ht="21" x14ac:dyDescent="0.35">
      <c r="A1272" s="1"/>
      <c r="B1272" s="2"/>
      <c r="C1272" s="2"/>
      <c r="D1272" s="2"/>
      <c r="E1272" s="2"/>
      <c r="F1272" s="2"/>
      <c r="G1272" s="2"/>
      <c r="H1272" s="2"/>
      <c r="I1272" s="40"/>
      <c r="J1272" s="39"/>
    </row>
    <row r="1273" spans="1:10" s="28" customFormat="1" ht="21" x14ac:dyDescent="0.35">
      <c r="A1273" s="1"/>
      <c r="B1273" s="2"/>
      <c r="C1273" s="2"/>
      <c r="D1273" s="2"/>
      <c r="E1273" s="2"/>
      <c r="F1273" s="2"/>
      <c r="G1273" s="2"/>
      <c r="H1273" s="2"/>
      <c r="I1273" s="40"/>
      <c r="J1273" s="39"/>
    </row>
    <row r="1274" spans="1:10" s="28" customFormat="1" ht="21" x14ac:dyDescent="0.35">
      <c r="A1274" s="1"/>
      <c r="B1274" s="2"/>
      <c r="C1274" s="2"/>
      <c r="D1274" s="2"/>
      <c r="E1274" s="2"/>
      <c r="F1274" s="2"/>
      <c r="G1274" s="2"/>
      <c r="H1274" s="2"/>
      <c r="I1274" s="40"/>
      <c r="J1274" s="39"/>
    </row>
    <row r="1275" spans="1:10" s="28" customFormat="1" ht="21" x14ac:dyDescent="0.35">
      <c r="A1275" s="1"/>
      <c r="B1275" s="2"/>
      <c r="C1275" s="2"/>
      <c r="D1275" s="2"/>
      <c r="E1275" s="2"/>
      <c r="F1275" s="2"/>
      <c r="G1275" s="2"/>
      <c r="H1275" s="2"/>
      <c r="I1275" s="40"/>
      <c r="J1275" s="39"/>
    </row>
    <row r="1276" spans="1:10" s="28" customFormat="1" ht="21" x14ac:dyDescent="0.35">
      <c r="A1276" s="1"/>
      <c r="B1276" s="2"/>
      <c r="C1276" s="2"/>
      <c r="D1276" s="2"/>
      <c r="E1276" s="2"/>
      <c r="F1276" s="2"/>
      <c r="G1276" s="2"/>
      <c r="H1276" s="2"/>
      <c r="I1276" s="40"/>
      <c r="J1276" s="39"/>
    </row>
    <row r="1277" spans="1:10" s="28" customFormat="1" ht="21" x14ac:dyDescent="0.35">
      <c r="A1277" s="1"/>
      <c r="B1277" s="2"/>
      <c r="C1277" s="2"/>
      <c r="D1277" s="2"/>
      <c r="E1277" s="2"/>
      <c r="F1277" s="2"/>
      <c r="G1277" s="2"/>
      <c r="H1277" s="2"/>
      <c r="I1277" s="40"/>
      <c r="J1277" s="39"/>
    </row>
    <row r="1278" spans="1:10" s="28" customFormat="1" ht="21" x14ac:dyDescent="0.35">
      <c r="A1278" s="1"/>
      <c r="B1278" s="2"/>
      <c r="C1278" s="2"/>
      <c r="D1278" s="2"/>
      <c r="E1278" s="2"/>
      <c r="F1278" s="2"/>
      <c r="G1278" s="2"/>
      <c r="H1278" s="2"/>
      <c r="I1278" s="40"/>
      <c r="J1278" s="39"/>
    </row>
    <row r="1279" spans="1:10" s="28" customFormat="1" ht="21" x14ac:dyDescent="0.35">
      <c r="A1279" s="1"/>
      <c r="B1279" s="2"/>
      <c r="C1279" s="2"/>
      <c r="D1279" s="2"/>
      <c r="E1279" s="2"/>
      <c r="F1279" s="2"/>
      <c r="G1279" s="2"/>
      <c r="H1279" s="2"/>
      <c r="I1279" s="40"/>
      <c r="J1279" s="39"/>
    </row>
    <row r="1280" spans="1:10" s="28" customFormat="1" ht="21" x14ac:dyDescent="0.35">
      <c r="A1280" s="1"/>
      <c r="B1280" s="2"/>
      <c r="C1280" s="2"/>
      <c r="D1280" s="2"/>
      <c r="E1280" s="2"/>
      <c r="F1280" s="2"/>
      <c r="G1280" s="2"/>
      <c r="H1280" s="2"/>
      <c r="I1280" s="40"/>
      <c r="J1280" s="39"/>
    </row>
    <row r="1281" spans="1:10" s="28" customFormat="1" ht="21" x14ac:dyDescent="0.35">
      <c r="A1281" s="1"/>
      <c r="B1281" s="2"/>
      <c r="C1281" s="2"/>
      <c r="D1281" s="2"/>
      <c r="E1281" s="2"/>
      <c r="F1281" s="2"/>
      <c r="G1281" s="2"/>
      <c r="H1281" s="2"/>
      <c r="I1281" s="40"/>
      <c r="J1281" s="39"/>
    </row>
    <row r="1282" spans="1:10" s="28" customFormat="1" ht="21" x14ac:dyDescent="0.35">
      <c r="A1282" s="1"/>
      <c r="B1282" s="2"/>
      <c r="C1282" s="2"/>
      <c r="D1282" s="2"/>
      <c r="E1282" s="2"/>
      <c r="F1282" s="2"/>
      <c r="G1282" s="2"/>
      <c r="H1282" s="2"/>
      <c r="I1282" s="40"/>
      <c r="J1282" s="39"/>
    </row>
    <row r="1283" spans="1:10" s="28" customFormat="1" ht="21" x14ac:dyDescent="0.35">
      <c r="A1283" s="1"/>
      <c r="B1283" s="2"/>
      <c r="C1283" s="2"/>
      <c r="D1283" s="2"/>
      <c r="E1283" s="2"/>
      <c r="F1283" s="2"/>
      <c r="G1283" s="2"/>
      <c r="H1283" s="2"/>
      <c r="I1283" s="40"/>
      <c r="J1283" s="39"/>
    </row>
    <row r="1284" spans="1:10" s="28" customFormat="1" ht="21" x14ac:dyDescent="0.35">
      <c r="A1284" s="1"/>
      <c r="B1284" s="2"/>
      <c r="C1284" s="2"/>
      <c r="D1284" s="2"/>
      <c r="E1284" s="2"/>
      <c r="F1284" s="2"/>
      <c r="G1284" s="2"/>
      <c r="H1284" s="2"/>
      <c r="I1284" s="40"/>
      <c r="J1284" s="39"/>
    </row>
    <row r="1285" spans="1:10" s="28" customFormat="1" ht="21" x14ac:dyDescent="0.35">
      <c r="A1285" s="1"/>
      <c r="B1285" s="2"/>
      <c r="C1285" s="2"/>
      <c r="D1285" s="2"/>
      <c r="E1285" s="2"/>
      <c r="F1285" s="2"/>
      <c r="G1285" s="2"/>
      <c r="H1285" s="2"/>
      <c r="I1285" s="40"/>
      <c r="J1285" s="39"/>
    </row>
    <row r="1286" spans="1:10" s="28" customFormat="1" ht="21" x14ac:dyDescent="0.35">
      <c r="A1286" s="1"/>
      <c r="B1286" s="2"/>
      <c r="C1286" s="2"/>
      <c r="D1286" s="2"/>
      <c r="E1286" s="2"/>
      <c r="F1286" s="2"/>
      <c r="G1286" s="2"/>
      <c r="H1286" s="2"/>
      <c r="I1286" s="40"/>
      <c r="J1286" s="39"/>
    </row>
    <row r="1287" spans="1:10" s="28" customFormat="1" ht="21" x14ac:dyDescent="0.35">
      <c r="A1287" s="1"/>
      <c r="B1287" s="2"/>
      <c r="C1287" s="2"/>
      <c r="D1287" s="2"/>
      <c r="E1287" s="2"/>
      <c r="F1287" s="2"/>
      <c r="G1287" s="2"/>
      <c r="H1287" s="2"/>
      <c r="I1287" s="40"/>
      <c r="J1287" s="39"/>
    </row>
    <row r="1288" spans="1:10" s="28" customFormat="1" ht="21" x14ac:dyDescent="0.35">
      <c r="A1288" s="1"/>
      <c r="B1288" s="2"/>
      <c r="C1288" s="2"/>
      <c r="D1288" s="2"/>
      <c r="E1288" s="2"/>
      <c r="F1288" s="2"/>
      <c r="G1288" s="2"/>
      <c r="H1288" s="2"/>
      <c r="I1288" s="40"/>
      <c r="J1288" s="39"/>
    </row>
    <row r="1289" spans="1:10" s="28" customFormat="1" ht="21" x14ac:dyDescent="0.35">
      <c r="A1289" s="1"/>
      <c r="B1289" s="2"/>
      <c r="C1289" s="2"/>
      <c r="D1289" s="2"/>
      <c r="E1289" s="2"/>
      <c r="F1289" s="2"/>
      <c r="G1289" s="2"/>
      <c r="H1289" s="2"/>
      <c r="I1289" s="40"/>
      <c r="J1289" s="39"/>
    </row>
    <row r="1290" spans="1:10" s="28" customFormat="1" ht="21" x14ac:dyDescent="0.35">
      <c r="A1290" s="1"/>
      <c r="B1290" s="2"/>
      <c r="C1290" s="2"/>
      <c r="D1290" s="2"/>
      <c r="E1290" s="2"/>
      <c r="F1290" s="2"/>
      <c r="G1290" s="2"/>
      <c r="H1290" s="2"/>
      <c r="I1290" s="40"/>
      <c r="J1290" s="39"/>
    </row>
    <row r="1291" spans="1:10" s="28" customFormat="1" ht="21" x14ac:dyDescent="0.35">
      <c r="A1291" s="1"/>
      <c r="B1291" s="2"/>
      <c r="C1291" s="2"/>
      <c r="D1291" s="2"/>
      <c r="E1291" s="2"/>
      <c r="F1291" s="2"/>
      <c r="G1291" s="2"/>
      <c r="H1291" s="2"/>
      <c r="I1291" s="40"/>
      <c r="J1291" s="39"/>
    </row>
    <row r="1292" spans="1:10" s="28" customFormat="1" ht="21" x14ac:dyDescent="0.35">
      <c r="A1292" s="1"/>
      <c r="B1292" s="2"/>
      <c r="C1292" s="2"/>
      <c r="D1292" s="2"/>
      <c r="E1292" s="2"/>
      <c r="F1292" s="2"/>
      <c r="G1292" s="2"/>
      <c r="H1292" s="2"/>
      <c r="I1292" s="40"/>
      <c r="J1292" s="39"/>
    </row>
    <row r="1293" spans="1:10" s="28" customFormat="1" ht="21" x14ac:dyDescent="0.35">
      <c r="A1293" s="1"/>
      <c r="B1293" s="2"/>
      <c r="C1293" s="2"/>
      <c r="D1293" s="2"/>
      <c r="E1293" s="2"/>
      <c r="F1293" s="2"/>
      <c r="G1293" s="2"/>
      <c r="H1293" s="2"/>
      <c r="I1293" s="40"/>
      <c r="J1293" s="39"/>
    </row>
    <row r="1294" spans="1:10" s="28" customFormat="1" ht="21" x14ac:dyDescent="0.35">
      <c r="A1294" s="1"/>
      <c r="B1294" s="2"/>
      <c r="C1294" s="2"/>
      <c r="D1294" s="2"/>
      <c r="E1294" s="2"/>
      <c r="F1294" s="2"/>
      <c r="G1294" s="2"/>
      <c r="H1294" s="2"/>
      <c r="I1294" s="40"/>
      <c r="J1294" s="39"/>
    </row>
    <row r="1295" spans="1:10" s="28" customFormat="1" ht="21" x14ac:dyDescent="0.35">
      <c r="A1295" s="1"/>
      <c r="B1295" s="2"/>
      <c r="C1295" s="2"/>
      <c r="D1295" s="2"/>
      <c r="E1295" s="2"/>
      <c r="F1295" s="2"/>
      <c r="G1295" s="2"/>
      <c r="H1295" s="2"/>
      <c r="I1295" s="40"/>
      <c r="J1295" s="39"/>
    </row>
    <row r="1296" spans="1:10" s="28" customFormat="1" ht="21" x14ac:dyDescent="0.35">
      <c r="A1296" s="1"/>
      <c r="B1296" s="2"/>
      <c r="C1296" s="2"/>
      <c r="D1296" s="2"/>
      <c r="E1296" s="2"/>
      <c r="F1296" s="2"/>
      <c r="G1296" s="2"/>
      <c r="H1296" s="2"/>
      <c r="I1296" s="40"/>
      <c r="J1296" s="39"/>
    </row>
    <row r="1297" spans="1:10" s="28" customFormat="1" ht="21" x14ac:dyDescent="0.35">
      <c r="A1297" s="1"/>
      <c r="B1297" s="2"/>
      <c r="C1297" s="2"/>
      <c r="D1297" s="2"/>
      <c r="E1297" s="2"/>
      <c r="F1297" s="2"/>
      <c r="G1297" s="2"/>
      <c r="H1297" s="2"/>
      <c r="I1297" s="40"/>
      <c r="J1297" s="39"/>
    </row>
    <row r="1298" spans="1:10" s="28" customFormat="1" ht="21" x14ac:dyDescent="0.35">
      <c r="A1298" s="1"/>
      <c r="B1298" s="2"/>
      <c r="C1298" s="2"/>
      <c r="D1298" s="2"/>
      <c r="E1298" s="2"/>
      <c r="F1298" s="2"/>
      <c r="G1298" s="2"/>
      <c r="H1298" s="2"/>
      <c r="I1298" s="40"/>
      <c r="J1298" s="39"/>
    </row>
    <row r="1299" spans="1:10" s="28" customFormat="1" ht="21" x14ac:dyDescent="0.35">
      <c r="A1299" s="1"/>
      <c r="B1299" s="2"/>
      <c r="C1299" s="2"/>
      <c r="D1299" s="2"/>
      <c r="E1299" s="2"/>
      <c r="F1299" s="2"/>
      <c r="G1299" s="2"/>
      <c r="H1299" s="2"/>
      <c r="I1299" s="40"/>
      <c r="J1299" s="39"/>
    </row>
    <row r="1300" spans="1:10" s="28" customFormat="1" ht="21" x14ac:dyDescent="0.35">
      <c r="A1300" s="1"/>
      <c r="B1300" s="2"/>
      <c r="C1300" s="2"/>
      <c r="D1300" s="2"/>
      <c r="E1300" s="2"/>
      <c r="F1300" s="2"/>
      <c r="G1300" s="2"/>
      <c r="H1300" s="2"/>
      <c r="I1300" s="40"/>
      <c r="J1300" s="39"/>
    </row>
    <row r="1301" spans="1:10" s="28" customFormat="1" ht="21" x14ac:dyDescent="0.35">
      <c r="A1301" s="1"/>
      <c r="B1301" s="2"/>
      <c r="C1301" s="2"/>
      <c r="D1301" s="2"/>
      <c r="E1301" s="2"/>
      <c r="F1301" s="2"/>
      <c r="G1301" s="2"/>
      <c r="H1301" s="2"/>
      <c r="I1301" s="40"/>
    </row>
    <row r="1302" spans="1:10" s="28" customFormat="1" ht="21" x14ac:dyDescent="0.35">
      <c r="A1302" s="1"/>
      <c r="B1302" s="2"/>
      <c r="C1302" s="2"/>
      <c r="D1302" s="2"/>
      <c r="E1302" s="2"/>
      <c r="F1302" s="2"/>
      <c r="G1302" s="2"/>
      <c r="H1302" s="2"/>
      <c r="I1302" s="40"/>
    </row>
  </sheetData>
  <mergeCells count="50">
    <mergeCell ref="AR2:AT2"/>
    <mergeCell ref="AU2:AW2"/>
    <mergeCell ref="AX2:AZ2"/>
    <mergeCell ref="BA2:BC2"/>
    <mergeCell ref="AC2:AE2"/>
    <mergeCell ref="AF2:AH2"/>
    <mergeCell ref="AI2:AK2"/>
    <mergeCell ref="AL2:AN2"/>
    <mergeCell ref="AO2:AQ2"/>
    <mergeCell ref="B23:C23"/>
    <mergeCell ref="K2:M2"/>
    <mergeCell ref="N2:P2"/>
    <mergeCell ref="Q2:S2"/>
    <mergeCell ref="T2:V2"/>
    <mergeCell ref="I4:J4"/>
    <mergeCell ref="I3:J3"/>
    <mergeCell ref="K3:M3"/>
    <mergeCell ref="B2:J2"/>
    <mergeCell ref="K4:M4"/>
    <mergeCell ref="B4:G4"/>
    <mergeCell ref="AU3:AW3"/>
    <mergeCell ref="AU4:AW4"/>
    <mergeCell ref="AX3:AZ3"/>
    <mergeCell ref="AX4:AZ4"/>
    <mergeCell ref="BA3:BC3"/>
    <mergeCell ref="BA4:BC4"/>
    <mergeCell ref="AL3:AN3"/>
    <mergeCell ref="AL4:AN4"/>
    <mergeCell ref="AO3:AQ3"/>
    <mergeCell ref="AO4:AQ4"/>
    <mergeCell ref="AR3:AT3"/>
    <mergeCell ref="AR4:AT4"/>
    <mergeCell ref="AC3:AE3"/>
    <mergeCell ref="AC4:AE4"/>
    <mergeCell ref="AF3:AH3"/>
    <mergeCell ref="AF4:AH4"/>
    <mergeCell ref="AI3:AK3"/>
    <mergeCell ref="AI4:AK4"/>
    <mergeCell ref="Z3:AB3"/>
    <mergeCell ref="Z4:AB4"/>
    <mergeCell ref="W2:Y2"/>
    <mergeCell ref="Z2:AB2"/>
    <mergeCell ref="N3:P3"/>
    <mergeCell ref="Q3:S3"/>
    <mergeCell ref="T3:V3"/>
    <mergeCell ref="W3:Y3"/>
    <mergeCell ref="N4:P4"/>
    <mergeCell ref="Q4:S4"/>
    <mergeCell ref="T4:V4"/>
    <mergeCell ref="W4:Y4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Input_Data</vt:lpstr>
      <vt:lpstr>Boundary_Conditions</vt:lpstr>
      <vt:lpstr>GW_S</vt:lpstr>
      <vt:lpstr>GW_Depth</vt:lpstr>
      <vt:lpstr>GW_Ksat</vt:lpstr>
      <vt:lpstr>DEM</vt:lpstr>
      <vt:lpstr>Soil_Depth</vt:lpstr>
      <vt:lpstr>Inflow_BC</vt:lpstr>
      <vt:lpstr>Assimilation_Data</vt:lpstr>
      <vt:lpstr>n_x</vt:lpstr>
      <vt:lpstr>n_y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Nobrega Gomes, Marcus - (marcusnobrega)</cp:lastModifiedBy>
  <dcterms:created xsi:type="dcterms:W3CDTF">2023-01-25T20:56:49Z</dcterms:created>
  <dcterms:modified xsi:type="dcterms:W3CDTF">2025-11-23T17:31:21Z</dcterms:modified>
</cp:coreProperties>
</file>